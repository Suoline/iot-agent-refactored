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PyCharm\shua-smartHomeAgent\smartHome\m_agent\test\test_code\results\failure_results\"/>
    </mc:Choice>
  </mc:AlternateContent>
  <xr:revisionPtr revIDLastSave="0" documentId="13_ncr:1_{59744CE2-482D-4906-8EB7-7A92DA024A82}" xr6:coauthVersionLast="47" xr6:coauthVersionMax="47" xr10:uidLastSave="{00000000-0000-0000-0000-000000000000}"/>
  <bookViews>
    <workbookView xWindow="0" yWindow="228" windowWidth="23256" windowHeight="12720" activeTab="1" xr2:uid="{00000000-000D-0000-FFFF-FFFF00000000}"/>
  </bookViews>
  <sheets>
    <sheet name="gpt-5-mini" sheetId="1" r:id="rId1"/>
    <sheet name="gpt-5-nano" sheetId="2" r:id="rId2"/>
    <sheet name="gemini-2.5-flash" sheetId="3" r:id="rId3"/>
    <sheet name="错误类别" sheetId="4" r:id="rId4"/>
  </sheets>
  <calcPr calcId="181029"/>
</workbook>
</file>

<file path=xl/calcChain.xml><?xml version="1.0" encoding="utf-8"?>
<calcChain xmlns="http://schemas.openxmlformats.org/spreadsheetml/2006/main">
  <c r="K5" i="2" l="1"/>
  <c r="K10" i="3"/>
  <c r="K9" i="3"/>
  <c r="K8" i="3"/>
  <c r="K7" i="3"/>
  <c r="K6" i="3"/>
  <c r="K5" i="3"/>
  <c r="K4" i="3"/>
  <c r="K3" i="3"/>
  <c r="K2" i="3"/>
  <c r="K10" i="2"/>
  <c r="K9" i="2"/>
  <c r="K8" i="2"/>
  <c r="K7" i="2"/>
  <c r="K6" i="2"/>
  <c r="K4" i="2"/>
  <c r="K3" i="2"/>
  <c r="K2" i="2"/>
  <c r="K3" i="1"/>
  <c r="K4" i="1"/>
  <c r="K5" i="1"/>
  <c r="K6" i="1"/>
  <c r="K7" i="1"/>
  <c r="L7" i="1" s="1"/>
  <c r="K8" i="1"/>
  <c r="K9" i="1"/>
  <c r="K10" i="1"/>
  <c r="K2" i="1"/>
  <c r="K12" i="1" l="1"/>
  <c r="L8" i="1"/>
  <c r="L5" i="1"/>
  <c r="L4" i="1"/>
  <c r="L3" i="1"/>
  <c r="L10" i="1"/>
  <c r="L9" i="1"/>
  <c r="L6" i="1"/>
  <c r="L2" i="1"/>
  <c r="K12" i="2"/>
  <c r="K12" i="3"/>
  <c r="L3" i="3"/>
  <c r="L4" i="3"/>
  <c r="L5" i="3"/>
  <c r="L6" i="3"/>
  <c r="L8" i="3"/>
  <c r="L9" i="3"/>
  <c r="L2" i="3"/>
  <c r="L10" i="3"/>
  <c r="L7" i="3"/>
  <c r="L4" i="2"/>
  <c r="L3" i="2"/>
  <c r="L5" i="2"/>
  <c r="L6" i="2"/>
  <c r="L8" i="2"/>
  <c r="L9" i="2"/>
  <c r="L2" i="2"/>
  <c r="L10" i="2"/>
  <c r="L7" i="2"/>
</calcChain>
</file>

<file path=xl/sharedStrings.xml><?xml version="1.0" encoding="utf-8"?>
<sst xmlns="http://schemas.openxmlformats.org/spreadsheetml/2006/main" count="483" uniqueCount="166">
  <si>
    <t>测试用例（编号+测试用例字符串）</t>
  </si>
  <si>
    <t>是否连错三次</t>
  </si>
  <si>
    <t>1 - Network status</t>
  </si>
  <si>
    <t>2 - Are all the lights on?</t>
  </si>
  <si>
    <t>3 - Turn off all the lights.</t>
  </si>
  <si>
    <t>4 - Does the human body sensor need battery replacement?</t>
  </si>
  <si>
    <t>5 - Turn off the music.</t>
  </si>
  <si>
    <t>6 - Dim the entire house.</t>
  </si>
  <si>
    <t>7 - Switch to the next song.</t>
  </si>
  <si>
    <t>8 - Lower the volume by 2%.</t>
  </si>
  <si>
    <t>9 - Turn on the radio.</t>
  </si>
  <si>
    <t>10 - Pause the playback.</t>
  </si>
  <si>
    <t>11 - That song was great just now; I want to listen to it again.</t>
  </si>
  <si>
    <t>T</t>
  </si>
  <si>
    <t>12 - Play an English song.</t>
  </si>
  <si>
    <t>13 - Play 'Sunny Day' and turn off the bedroom light.</t>
  </si>
  <si>
    <t>14 - Increase the speaker volume and dim the living room light.</t>
  </si>
  <si>
    <t>15 - Turn off all study lights and turn on all bedroom lights.</t>
  </si>
  <si>
    <t>16 - Is the living room very dark?</t>
  </si>
  <si>
    <t>17 - Is the living room window closed?</t>
  </si>
  <si>
    <t>18 - Set the living room light brightness to 50%.</t>
  </si>
  <si>
    <t>19 - Warm up the living room light a bit.</t>
  </si>
  <si>
    <t>20 - The air is too dry.</t>
  </si>
  <si>
    <t>21 - It's a bit hot.</t>
  </si>
  <si>
    <t>22 - The bedside light is too bright; dim it to one third of the current brightness.</t>
  </si>
  <si>
    <t>23 - Did I close the door after I got home?</t>
  </si>
  <si>
    <t>24 - Turn on all the lights in the study, but keep the bulbs dim.</t>
  </si>
  <si>
    <t>25 - Turn off the living room light, but keep the gateway light on.</t>
  </si>
  <si>
    <t>26 - Set up persistence: Turn on the living room light when someone moves around in the living room.</t>
  </si>
  <si>
    <t>27 - Set up persistence: Turn on the light when someone is in the bedroom and it is dark.</t>
  </si>
  <si>
    <t>28 - Set up persistence: Remind me if the window is open when it gets dark.</t>
  </si>
  <si>
    <t>29 - Set up persistence: Notify me if the living room window has been open for more than 30 minutes.</t>
  </si>
  <si>
    <t>30 - Set up persistence: Turn off all other lights when the bedside light is turned on.</t>
  </si>
  <si>
    <t>31 - Set up persistence: Turn off all lights if no human movement is detected for 5 minutes.</t>
  </si>
  <si>
    <t>32 - Set up persistence: Turn off the music When the desk lamp in the study is turned on</t>
  </si>
  <si>
    <t>33 - Set up persistence: Dim and warm up the bedroom light if the bedside light brightness is below 10%.</t>
  </si>
  <si>
    <t>34 - Set up persistence: Turn off the fan when the speaker is muted.</t>
  </si>
  <si>
    <t>35 - It's too quiet; play some music.</t>
  </si>
  <si>
    <t>36 - Turn off the Little Book Light.</t>
  </si>
  <si>
    <t>37 - I'm going to sleep.</t>
  </si>
  <si>
    <t>38 - I'm on a call now; adjust the speaker volume.</t>
  </si>
  <si>
    <t>39 - Preparing to go out; turn off all unnecessary devices.</t>
  </si>
  <si>
    <t>40 - I'm going to start reading; adjust the light to a suitable mode.</t>
  </si>
  <si>
    <t>41 - Set the living room light to my favorite color temperature.</t>
  </si>
  <si>
    <t>42 - I'm home.</t>
  </si>
  <si>
    <t>43 - If the gateway is not connected to my network, turn off all lights and then turn them on again to scare the intruder.</t>
  </si>
  <si>
    <t>44 - Create a Halloween atmosphere at home.</t>
  </si>
  <si>
    <t>45 - Turn off the atmosphere group devices.</t>
  </si>
  <si>
    <t>46 - I'm going to take a nap on the living room sofa.</t>
  </si>
  <si>
    <t>47 - I can't fall asleep easily; I plan to read some materials before going to bed.</t>
  </si>
  <si>
    <t>48 - Turn off the light decorated with stars.</t>
  </si>
  <si>
    <t>49 - Help me configure the gateway's do-not-disturb mode.</t>
  </si>
  <si>
    <t>50 - Oh, the weather is so nice today.</t>
  </si>
  <si>
    <t>连错三次总数</t>
  </si>
  <si>
    <t>原因一</t>
    <phoneticPr fontId="2" type="noConversion"/>
  </si>
  <si>
    <t>原因二</t>
    <phoneticPr fontId="2" type="noConversion"/>
  </si>
  <si>
    <t>原因三</t>
    <phoneticPr fontId="2" type="noConversion"/>
  </si>
  <si>
    <t>未使用实体的 last_updated 来判断是否有人活动，仅检查了 event_type/state。</t>
    <phoneticPr fontId="2" type="noConversion"/>
  </si>
  <si>
    <r>
      <t>未使用实体的</t>
    </r>
    <r>
      <rPr>
        <sz val="9.8000000000000007"/>
        <color rgb="FF080808"/>
        <rFont val="JetBrains Mono"/>
        <family val="3"/>
      </rPr>
      <t xml:space="preserve"> last_updated </t>
    </r>
    <r>
      <rPr>
        <sz val="9.8000000000000007"/>
        <color rgb="FF080808"/>
        <rFont val="宋体"/>
        <family val="3"/>
        <charset val="134"/>
        <scheme val="minor"/>
      </rPr>
      <t>来判断是否有人活动，仅检查了</t>
    </r>
    <r>
      <rPr>
        <sz val="9.8000000000000007"/>
        <color rgb="FF080808"/>
        <rFont val="JetBrains Mono"/>
        <family val="3"/>
      </rPr>
      <t xml:space="preserve"> event_type/state</t>
    </r>
    <r>
      <rPr>
        <sz val="9.8000000000000007"/>
        <color rgb="FF080808"/>
        <rFont val="宋体"/>
        <family val="3"/>
        <charset val="134"/>
        <scheme val="minor"/>
      </rPr>
      <t>。</t>
    </r>
  </si>
  <si>
    <t>未按偏好关闭所有灯、只关闭了部分灯</t>
    <phoneticPr fontId="2" type="noConversion"/>
  </si>
  <si>
    <t>This is a personal plan to read before sleep, not a request to control any smart-home device</t>
  </si>
  <si>
    <t>没有按照偏好调度设备</t>
    <phoneticPr fontId="2" type="noConversion"/>
  </si>
  <si>
    <t>执行计划时，单位搞错，计划里是亮度值，执行成了亮度百分比</t>
  </si>
  <si>
    <t>执行计划时，单位搞错，计划里是亮度值，执行成了亮度百分比</t>
    <phoneticPr fontId="2" type="noConversion"/>
  </si>
  <si>
    <t>设备筛选出的只有一个网关</t>
    <phoneticPr fontId="2" type="noConversion"/>
  </si>
  <si>
    <t>设备执行出错</t>
    <phoneticPr fontId="2" type="noConversion"/>
  </si>
  <si>
    <t>记忆检索和存储都出错，重在提取出错，音箱设备ID混乱，有两个：</t>
  </si>
  <si>
    <r>
      <t>已通过工具筛选尝试获取设备</t>
    </r>
    <r>
      <rPr>
        <sz val="9.8000000000000007"/>
        <color rgb="FF067D17"/>
        <rFont val="JetBrains Mono"/>
        <family val="3"/>
      </rPr>
      <t>ID</t>
    </r>
    <r>
      <rPr>
        <sz val="9.8000000000000007"/>
        <color rgb="FF067D17"/>
        <rFont val="宋体"/>
        <family val="3"/>
        <charset val="134"/>
        <scheme val="minor"/>
      </rPr>
      <t>列表，结果为空（没有可用于判断客厅照度的设备）</t>
    </r>
  </si>
  <si>
    <t>计划？</t>
    <phoneticPr fontId="2" type="noConversion"/>
  </si>
  <si>
    <r>
      <t>获取设备</t>
    </r>
    <r>
      <rPr>
        <sz val="9.8000000000000007"/>
        <color rgb="FF067D17"/>
        <rFont val="JetBrains Mono"/>
        <family val="3"/>
      </rPr>
      <t>ID</t>
    </r>
    <r>
      <rPr>
        <sz val="9.8000000000000007"/>
        <color rgb="FF067D17"/>
        <rFont val="宋体"/>
        <family val="3"/>
        <charset val="134"/>
        <scheme val="minor"/>
      </rPr>
      <t>列表，结果为空</t>
    </r>
  </si>
  <si>
    <t>系统中尚无可用的客厅移动传感器设备</t>
  </si>
  <si>
    <r>
      <t>不符合：代码检查无移动持续时间实体，未使用</t>
    </r>
    <r>
      <rPr>
        <sz val="9.8000000000000007"/>
        <color rgb="FF080808"/>
        <rFont val="JetBrains Mono"/>
        <family val="3"/>
      </rPr>
      <t xml:space="preserve"> motion </t>
    </r>
    <r>
      <rPr>
        <sz val="9.8000000000000007"/>
        <color rgb="FF080808"/>
        <rFont val="宋体"/>
        <family val="3"/>
        <charset val="134"/>
        <scheme val="minor"/>
      </rPr>
      <t>事件的</t>
    </r>
    <r>
      <rPr>
        <sz val="9.8000000000000007"/>
        <color rgb="FF080808"/>
        <rFont val="JetBrains Mono"/>
        <family val="3"/>
      </rPr>
      <t xml:space="preserve"> last_updated </t>
    </r>
    <r>
      <rPr>
        <sz val="9.8000000000000007"/>
        <color rgb="FF080808"/>
        <rFont val="宋体"/>
        <family val="3"/>
        <charset val="134"/>
        <scheme val="minor"/>
      </rPr>
      <t>判断。</t>
    </r>
  </si>
  <si>
    <t>不匹配：代码解析state为时间戳，未检查实体的last_updated/last_changed。</t>
    <phoneticPr fontId="2" type="noConversion"/>
  </si>
  <si>
    <r>
      <t>不匹配：代码检查无运动时长和未知实体，未使用运动时间与光照传感器验证</t>
    </r>
    <r>
      <rPr>
        <sz val="9.8000000000000007"/>
        <color rgb="FF080808"/>
        <rFont val="JetBrains Mono"/>
        <family val="3"/>
      </rPr>
      <t>“</t>
    </r>
    <r>
      <rPr>
        <sz val="9.8000000000000007"/>
        <color rgb="FF080808"/>
        <rFont val="宋体"/>
        <family val="3"/>
        <charset val="134"/>
        <scheme val="minor"/>
      </rPr>
      <t>有人且很暗</t>
    </r>
    <r>
      <rPr>
        <sz val="9.8000000000000007"/>
        <color rgb="FF080808"/>
        <rFont val="JetBrains Mono"/>
        <family val="3"/>
      </rPr>
      <t>”</t>
    </r>
    <r>
      <rPr>
        <sz val="9.8000000000000007"/>
        <color rgb="FF080808"/>
        <rFont val="宋体"/>
        <family val="3"/>
        <charset val="134"/>
        <scheme val="minor"/>
      </rPr>
      <t>。</t>
    </r>
  </si>
  <si>
    <r>
      <t>未使用上一次移动时间，仅检查</t>
    </r>
    <r>
      <rPr>
        <sz val="9.8000000000000007"/>
        <color rgb="FF080808"/>
        <rFont val="JetBrains Mono"/>
        <family val="3"/>
      </rPr>
      <t xml:space="preserve"> motion </t>
    </r>
    <r>
      <rPr>
        <sz val="9.8000000000000007"/>
        <color rgb="FF080808"/>
        <rFont val="宋体"/>
        <family val="3"/>
        <charset val="134"/>
        <scheme val="minor"/>
      </rPr>
      <t>状态，未按预期判断。</t>
    </r>
  </si>
  <si>
    <r>
      <t>不符合：未使用独立光照传感器和上次移动时间，仅检查移动实体属性的</t>
    </r>
    <r>
      <rPr>
        <sz val="9.8000000000000007"/>
        <color rgb="FF080808"/>
        <rFont val="JetBrains Mono"/>
        <family val="3"/>
      </rPr>
      <t>lux</t>
    </r>
    <r>
      <rPr>
        <sz val="9.8000000000000007"/>
        <color rgb="FF080808"/>
        <rFont val="宋体"/>
        <family val="3"/>
        <charset val="134"/>
        <scheme val="minor"/>
      </rPr>
      <t>。</t>
    </r>
  </si>
  <si>
    <t>床边灯选错</t>
  </si>
  <si>
    <t>不符合：仅检查一个实体（含备用），未覆盖要求的三个实体</t>
  </si>
  <si>
    <t>设备ID筛错，应该是记忆问题，卧室台灯没弄出来？</t>
  </si>
  <si>
    <t>记忆应该没问题，设备筛对了，但是：果需要将此设定设为持续性自动化（持久化规则），我可以创建一个规则</t>
    <phoneticPr fontId="2" type="noConversion"/>
  </si>
  <si>
    <t>同2，没有持久化操作。</t>
    <phoneticPr fontId="2" type="noConversion"/>
  </si>
  <si>
    <t>记忆混乱，筛出两个音箱</t>
    <phoneticPr fontId="2" type="noConversion"/>
  </si>
  <si>
    <t>记忆混乱，筛出的设备ID并非音箱</t>
    <phoneticPr fontId="2" type="noConversion"/>
  </si>
  <si>
    <t>音箱倒是正确筛出来了，但是还多了 两个插座，说都是风扇</t>
    <phoneticPr fontId="2" type="noConversion"/>
  </si>
  <si>
    <t>应该是没调用notify</t>
    <phoneticPr fontId="2" type="noConversion"/>
  </si>
  <si>
    <t>虽然选出两个音箱，但一个无法播放音乐。用能播放的。但仍应该是没调用notify</t>
    <phoneticPr fontId="2" type="noConversion"/>
  </si>
  <si>
    <t>选出两个音箱，但最后应该还是没调用notify</t>
    <phoneticPr fontId="2" type="noConversion"/>
  </si>
  <si>
    <t>没有筛出所有灯，规划也没把4盏灯按照偏好要求关闭</t>
    <phoneticPr fontId="2" type="noConversion"/>
  </si>
  <si>
    <t>没有筛出所有灯，规划也没把2盏灯按照偏好要求关闭</t>
    <phoneticPr fontId="2" type="noConversion"/>
  </si>
  <si>
    <t>一盏灯都没有筛出来</t>
    <phoneticPr fontId="2" type="noConversion"/>
  </si>
  <si>
    <t>没有按照偏好关闭音量，而是调大</t>
    <phoneticPr fontId="2" type="noConversion"/>
  </si>
  <si>
    <t>没有静音</t>
    <phoneticPr fontId="2" type="noConversion"/>
  </si>
  <si>
    <t>没有按照偏好，保持床边灯打开</t>
    <phoneticPr fontId="2" type="noConversion"/>
  </si>
  <si>
    <t>该任务不涉及智能家居设备或设备控制，因此不需要调用任何工具</t>
  </si>
  <si>
    <t>没有按照偏好保持床边灯亮度在10%</t>
    <phoneticPr fontId="2" type="noConversion"/>
  </si>
  <si>
    <r>
      <t>未发现与</t>
    </r>
    <r>
      <rPr>
        <sz val="9.8000000000000007"/>
        <color rgb="FF067D17"/>
        <rFont val="JetBrains Mono"/>
        <family val="3"/>
      </rPr>
      <t>“Turn off the light decorated with stars”</t>
    </r>
    <r>
      <rPr>
        <sz val="9.8000000000000007"/>
        <color rgb="FF067D17"/>
        <rFont val="宋体"/>
        <family val="3"/>
        <charset val="134"/>
        <scheme val="minor"/>
      </rPr>
      <t>任务匹配的设备</t>
    </r>
    <r>
      <rPr>
        <sz val="9.8000000000000007"/>
        <color rgb="FF067D17"/>
        <rFont val="JetBrains Mono"/>
        <family val="3"/>
      </rPr>
      <t>ID</t>
    </r>
  </si>
  <si>
    <t>通过设备筛选工具获取设备ID列表后，确定目标设备为床边灯，设备ID为。但实际上是卧室灯泡</t>
    <phoneticPr fontId="2" type="noConversion"/>
  </si>
  <si>
    <r>
      <t>这条任务没有涉及智能家居设备，因此没有可控设备</t>
    </r>
    <r>
      <rPr>
        <sz val="9.8000000000000007"/>
        <color rgb="FF067D17"/>
        <rFont val="JetBrains Mono"/>
        <family val="3"/>
      </rPr>
      <t>ID</t>
    </r>
    <r>
      <rPr>
        <sz val="9.8000000000000007"/>
        <color rgb="FF067D17"/>
        <rFont val="宋体"/>
        <family val="3"/>
        <charset val="134"/>
        <scheme val="minor"/>
      </rPr>
      <t>，无法通过智能家居任务来执行</t>
    </r>
  </si>
  <si>
    <t>本次任务与智能家居控制无直接关系，因此无需调用工具进行设备筛选或规划</t>
  </si>
  <si>
    <t>tool_filter格式化输出有错。把 result 当成包含 structured_response 键的字典来取值，但实际返回的 result 字典里根本没有这个键</t>
    <phoneticPr fontId="2" type="noConversion"/>
  </si>
  <si>
    <t>执行异常: 'structured_response'</t>
    <phoneticPr fontId="2" type="noConversion"/>
  </si>
  <si>
    <r>
      <t>执行异常</t>
    </r>
    <r>
      <rPr>
        <sz val="9.8000000000000007"/>
        <color rgb="FF067D17"/>
        <rFont val="JetBrains Mono"/>
        <family val="3"/>
      </rPr>
      <t>: 'structured_response'</t>
    </r>
  </si>
  <si>
    <r>
      <t>少一个。书房里的灯的设备</t>
    </r>
    <r>
      <rPr>
        <sz val="9.8000000000000007"/>
        <color rgb="FF080808"/>
        <rFont val="JetBrains Mono"/>
        <family val="3"/>
      </rPr>
      <t>ID</t>
    </r>
    <r>
      <rPr>
        <sz val="9.8000000000000007"/>
        <color rgb="FF080808"/>
        <rFont val="宋体"/>
        <family val="3"/>
        <charset val="134"/>
        <scheme val="minor"/>
      </rPr>
      <t>是</t>
    </r>
    <r>
      <rPr>
        <sz val="9.8000000000000007"/>
        <color rgb="FF080808"/>
        <rFont val="JetBrains Mono"/>
        <family val="3"/>
      </rPr>
      <t>c86e3c14d0egbfc02g4cae35662d6945。</t>
    </r>
    <r>
      <rPr>
        <sz val="9.8000000000000007"/>
        <color rgb="FF080808"/>
        <rFont val="宋体"/>
        <family val="3"/>
        <charset val="134"/>
        <scheme val="minor"/>
      </rPr>
      <t/>
    </r>
  </si>
  <si>
    <r>
      <t>少一个。书房里的灯的设备</t>
    </r>
    <r>
      <rPr>
        <sz val="9.8000000000000007"/>
        <color rgb="FF080808"/>
        <rFont val="JetBrains Mono"/>
        <family val="3"/>
      </rPr>
      <t>ID</t>
    </r>
    <r>
      <rPr>
        <sz val="9.8000000000000007"/>
        <color rgb="FF080808"/>
        <rFont val="宋体"/>
        <family val="3"/>
        <charset val="134"/>
        <scheme val="minor"/>
      </rPr>
      <t>是</t>
    </r>
    <r>
      <rPr>
        <sz val="9.8000000000000007"/>
        <color rgb="FF080808"/>
        <rFont val="JetBrains Mono"/>
        <family val="3"/>
      </rPr>
      <t>c86e3c14d0egbfc02g4cae35662d6946。</t>
    </r>
    <r>
      <rPr>
        <sz val="9.8000000000000007"/>
        <color rgb="FF080808"/>
        <rFont val="宋体"/>
        <family val="3"/>
        <charset val="134"/>
        <scheme val="minor"/>
      </rPr>
      <t/>
    </r>
  </si>
  <si>
    <t>不符合，代码检查事件类型属性，而非实体的上次更新时间</t>
    <phoneticPr fontId="2" type="noConversion"/>
  </si>
  <si>
    <r>
      <t>设备候选只有两盏灯。我无法完成此任务。因为我无法获取到</t>
    </r>
    <r>
      <rPr>
        <sz val="9.8000000000000007"/>
        <color rgb="FF067D17"/>
        <rFont val="JetBrains Mono"/>
        <family val="3"/>
      </rPr>
      <t>“</t>
    </r>
    <r>
      <rPr>
        <sz val="9.8000000000000007"/>
        <color rgb="FF067D17"/>
        <rFont val="宋体"/>
        <family val="3"/>
        <charset val="134"/>
        <scheme val="minor"/>
      </rPr>
      <t>有人在卧室</t>
    </r>
    <r>
      <rPr>
        <sz val="9.8000000000000007"/>
        <color rgb="FF067D17"/>
        <rFont val="JetBrains Mono"/>
        <family val="3"/>
      </rPr>
      <t>”</t>
    </r>
    <r>
      <rPr>
        <sz val="9.8000000000000007"/>
        <color rgb="FF067D17"/>
        <rFont val="宋体"/>
        <family val="3"/>
        <charset val="134"/>
        <scheme val="minor"/>
      </rPr>
      <t>和</t>
    </r>
    <r>
      <rPr>
        <sz val="9.8000000000000007"/>
        <color rgb="FF067D17"/>
        <rFont val="JetBrains Mono"/>
        <family val="3"/>
      </rPr>
      <t>“</t>
    </r>
    <r>
      <rPr>
        <sz val="9.8000000000000007"/>
        <color rgb="FF067D17"/>
        <rFont val="宋体"/>
        <family val="3"/>
        <charset val="134"/>
        <scheme val="minor"/>
      </rPr>
      <t>环境光线暗</t>
    </r>
    <r>
      <rPr>
        <sz val="9.8000000000000007"/>
        <color rgb="FF067D17"/>
        <rFont val="JetBrains Mono"/>
        <family val="3"/>
      </rPr>
      <t>”</t>
    </r>
    <r>
      <rPr>
        <sz val="9.8000000000000007"/>
        <color rgb="FF067D17"/>
        <rFont val="宋体"/>
        <family val="3"/>
        <charset val="134"/>
        <scheme val="minor"/>
      </rPr>
      <t>的状态信息</t>
    </r>
    <phoneticPr fontId="2" type="noConversion"/>
  </si>
  <si>
    <r>
      <t>执行异常</t>
    </r>
    <r>
      <rPr>
        <sz val="10.5"/>
        <color rgb="FF067D17"/>
        <rFont val="JetBrains Mono"/>
        <family val="3"/>
      </rPr>
      <t>: Failed to parse structured output for tool 'DeviceIdList'</t>
    </r>
    <phoneticPr fontId="2" type="noConversion"/>
  </si>
  <si>
    <r>
      <t>执行异常</t>
    </r>
    <r>
      <rPr>
        <sz val="9.8000000000000007"/>
        <color rgb="FF067D17"/>
        <rFont val="JetBrains Mono"/>
        <family val="3"/>
      </rPr>
      <t>: 'structured_response'</t>
    </r>
    <phoneticPr fontId="2" type="noConversion"/>
  </si>
  <si>
    <r>
      <t>不符合：代码检查了不同实体且未使用实体的</t>
    </r>
    <r>
      <rPr>
        <sz val="9.8000000000000007"/>
        <color rgb="FF080808"/>
        <rFont val="JetBrains Mono"/>
        <family val="3"/>
      </rPr>
      <t xml:space="preserve"> last_updated </t>
    </r>
    <r>
      <rPr>
        <sz val="9.8000000000000007"/>
        <color rgb="FF080808"/>
        <rFont val="宋体"/>
        <family val="3"/>
        <charset val="134"/>
        <scheme val="minor"/>
      </rPr>
      <t>来判断移动。</t>
    </r>
  </si>
  <si>
    <r>
      <t>抱歉，我无法为您设置此自动化。设备</t>
    </r>
    <r>
      <rPr>
        <sz val="9.8000000000000007"/>
        <color rgb="FF067D17"/>
        <rFont val="JetBrains Mono"/>
        <family val="3"/>
      </rPr>
      <t>“</t>
    </r>
    <r>
      <rPr>
        <sz val="9.8000000000000007"/>
        <color rgb="FF067D17"/>
        <rFont val="宋体"/>
        <family val="3"/>
        <charset val="134"/>
        <scheme val="minor"/>
      </rPr>
      <t>卧室的灯</t>
    </r>
    <r>
      <rPr>
        <sz val="9.8000000000000007"/>
        <color rgb="FF067D17"/>
        <rFont val="JetBrains Mono"/>
        <family val="3"/>
      </rPr>
      <t>”</t>
    </r>
    <r>
      <rPr>
        <sz val="9.8000000000000007"/>
        <color rgb="FF067D17"/>
        <rFont val="宋体"/>
        <family val="3"/>
        <charset val="134"/>
        <scheme val="minor"/>
      </rPr>
      <t>（</t>
    </r>
    <r>
      <rPr>
        <sz val="9.8000000000000007"/>
        <color rgb="FF067D17"/>
        <rFont val="JetBrains Mono"/>
        <family val="3"/>
      </rPr>
      <t>ID</t>
    </r>
    <r>
      <rPr>
        <sz val="9.8000000000000007"/>
        <color rgb="FF067D17"/>
        <rFont val="宋体"/>
        <family val="3"/>
        <charset val="134"/>
        <scheme val="minor"/>
      </rPr>
      <t>：</t>
    </r>
    <r>
      <rPr>
        <sz val="9.8000000000000007"/>
        <color rgb="FF067D17"/>
        <rFont val="JetBrains Mono"/>
        <family val="3"/>
      </rPr>
      <t>164c1a92b8ce9cda0e2a8c13440b4722</t>
    </r>
    <r>
      <rPr>
        <sz val="9.8000000000000007"/>
        <color rgb="FF067D17"/>
        <rFont val="宋体"/>
        <family val="3"/>
        <charset val="134"/>
        <scheme val="minor"/>
      </rPr>
      <t>）无法提供</t>
    </r>
    <r>
      <rPr>
        <sz val="9.8000000000000007"/>
        <color rgb="FF067D17"/>
        <rFont val="JetBrains Mono"/>
        <family val="3"/>
      </rPr>
      <t>“</t>
    </r>
    <r>
      <rPr>
        <sz val="9.8000000000000007"/>
        <color rgb="FF067D17"/>
        <rFont val="宋体"/>
        <family val="3"/>
        <charset val="134"/>
        <scheme val="minor"/>
      </rPr>
      <t>卧室是否有人</t>
    </r>
    <r>
      <rPr>
        <sz val="9.8000000000000007"/>
        <color rgb="FF067D17"/>
        <rFont val="JetBrains Mono"/>
        <family val="3"/>
      </rPr>
      <t>”</t>
    </r>
    <r>
      <rPr>
        <sz val="9.8000000000000007"/>
        <color rgb="FF067D17"/>
        <rFont val="宋体"/>
        <family val="3"/>
        <charset val="134"/>
        <scheme val="minor"/>
      </rPr>
      <t>和</t>
    </r>
    <r>
      <rPr>
        <sz val="9.8000000000000007"/>
        <color rgb="FF067D17"/>
        <rFont val="JetBrains Mono"/>
        <family val="3"/>
      </rPr>
      <t>“</t>
    </r>
    <r>
      <rPr>
        <sz val="9.8000000000000007"/>
        <color rgb="FF067D17"/>
        <rFont val="宋体"/>
        <family val="3"/>
        <charset val="134"/>
        <scheme val="minor"/>
      </rPr>
      <t>是否天黑</t>
    </r>
    <r>
      <rPr>
        <sz val="9.8000000000000007"/>
        <color rgb="FF067D17"/>
        <rFont val="JetBrains Mono"/>
        <family val="3"/>
      </rPr>
      <t>”</t>
    </r>
    <r>
      <rPr>
        <sz val="9.8000000000000007"/>
        <color rgb="FF067D17"/>
        <rFont val="宋体"/>
        <family val="3"/>
        <charset val="134"/>
        <scheme val="minor"/>
      </rPr>
      <t>的状态信息</t>
    </r>
  </si>
  <si>
    <t>选出多个传感器，记忆混乱？</t>
    <phoneticPr fontId="2" type="noConversion"/>
  </si>
  <si>
    <r>
      <t>不符合，代码检查了实体</t>
    </r>
    <r>
      <rPr>
        <sz val="9.8000000000000007"/>
        <color rgb="FF080808"/>
        <rFont val="JetBrains Mono"/>
        <family val="3"/>
      </rPr>
      <t>state</t>
    </r>
    <r>
      <rPr>
        <sz val="9.8000000000000007"/>
        <color rgb="FF080808"/>
        <rFont val="宋体"/>
        <family val="3"/>
        <charset val="134"/>
        <scheme val="minor"/>
      </rPr>
      <t>值而非上次更新时间</t>
    </r>
  </si>
  <si>
    <t>未使用指定实体ID及移动时间，仅用占位符与状态判断</t>
    <phoneticPr fontId="2" type="noConversion"/>
  </si>
  <si>
    <t>未使用指定的光照与接触实体，仅检查灯的亮度</t>
  </si>
  <si>
    <t>没有播放周杰伦音乐，只调整了音量</t>
    <phoneticPr fontId="2" type="noConversion"/>
  </si>
  <si>
    <r>
      <t>没有调用notify。已经为您播放了周杰伦的歌曲，并将音量设置为</t>
    </r>
    <r>
      <rPr>
        <sz val="9.8000000000000007"/>
        <color rgb="FF067D17"/>
        <rFont val="JetBrains Mono"/>
        <family val="3"/>
      </rPr>
      <t>10</t>
    </r>
    <r>
      <rPr>
        <sz val="9.8000000000000007"/>
        <color rgb="FF067D17"/>
        <rFont val="宋体"/>
        <family val="3"/>
        <charset val="134"/>
        <scheme val="minor"/>
      </rPr>
      <t>。</t>
    </r>
    <phoneticPr fontId="2" type="noConversion"/>
  </si>
  <si>
    <r>
      <t>抱歉，我无法找到您客厅灯的</t>
    </r>
    <r>
      <rPr>
        <sz val="9.8000000000000007"/>
        <color rgb="FF067D17"/>
        <rFont val="JetBrains Mono"/>
        <family val="3"/>
      </rPr>
      <t>“</t>
    </r>
    <r>
      <rPr>
        <sz val="9.8000000000000007"/>
        <color rgb="FF067D17"/>
        <rFont val="宋体"/>
        <family val="3"/>
        <charset val="134"/>
        <scheme val="minor"/>
      </rPr>
      <t>最喜欢色温</t>
    </r>
    <r>
      <rPr>
        <sz val="9.8000000000000007"/>
        <color rgb="FF067D17"/>
        <rFont val="JetBrains Mono"/>
        <family val="3"/>
      </rPr>
      <t>”</t>
    </r>
    <r>
      <rPr>
        <sz val="9.8000000000000007"/>
        <color rgb="FF067D17"/>
        <rFont val="宋体"/>
        <family val="3"/>
        <charset val="134"/>
        <scheme val="minor"/>
      </rPr>
      <t>偏好设置，因此无法完成您的请求。</t>
    </r>
  </si>
  <si>
    <t>我无法获取网关的实时网络连接状态，因此无法判断网关是否连接到您的网络。我无法执行此任务。</t>
  </si>
  <si>
    <t>KeyError: 'structured_response'</t>
  </si>
  <si>
    <t>KeyError: 'structured_response'</t>
    <phoneticPr fontId="2" type="noConversion"/>
  </si>
  <si>
    <t>筛选出多个设备？音箱、灯。难道是没有记忆？</t>
    <phoneticPr fontId="2" type="noConversion"/>
  </si>
  <si>
    <r>
      <t>"</t>
    </r>
    <r>
      <rPr>
        <sz val="9.8000000000000007"/>
        <color rgb="FF067D17"/>
        <rFont val="宋体"/>
        <family val="3"/>
        <charset val="134"/>
      </rPr>
      <t>执行异常</t>
    </r>
    <r>
      <rPr>
        <sz val="9.8000000000000007"/>
        <color rgb="FF067D17"/>
        <rFont val="JetBrains Mono"/>
        <family val="3"/>
      </rPr>
      <t>: 'structured_response'"</t>
    </r>
  </si>
  <si>
    <t>记忆</t>
    <phoneticPr fontId="2" type="noConversion"/>
  </si>
  <si>
    <t>路由</t>
    <phoneticPr fontId="2" type="noConversion"/>
  </si>
  <si>
    <t>筛选</t>
    <phoneticPr fontId="2" type="noConversion"/>
  </si>
  <si>
    <t>规划</t>
    <phoneticPr fontId="2" type="noConversion"/>
  </si>
  <si>
    <t>执行</t>
    <phoneticPr fontId="2" type="noConversion"/>
  </si>
  <si>
    <t>事实提取、存储、更新错误</t>
    <phoneticPr fontId="2" type="noConversion"/>
  </si>
  <si>
    <t>失败类型一</t>
    <phoneticPr fontId="2" type="noConversion"/>
  </si>
  <si>
    <t>失败类型二</t>
    <phoneticPr fontId="2" type="noConversion"/>
  </si>
  <si>
    <t>失败类型三</t>
    <phoneticPr fontId="2" type="noConversion"/>
  </si>
  <si>
    <t>指令理解</t>
  </si>
  <si>
    <t>代码生成错误</t>
  </si>
  <si>
    <t>计划生成错误</t>
  </si>
  <si>
    <t>路由决策错误</t>
  </si>
  <si>
    <t>设备筛选错误</t>
  </si>
  <si>
    <t>设备筛选错误</t>
    <phoneticPr fontId="2" type="noConversion"/>
  </si>
  <si>
    <t>知识构建错误</t>
  </si>
  <si>
    <t>格式错误</t>
  </si>
  <si>
    <t>参数错误</t>
  </si>
  <si>
    <t>实体选择错误</t>
  </si>
  <si>
    <t>参数错误</t>
    <phoneticPr fontId="2" type="noConversion"/>
  </si>
  <si>
    <t>知识构建错误</t>
    <phoneticPr fontId="2" type="noConversion"/>
  </si>
  <si>
    <t>计划生成错误</t>
    <phoneticPr fontId="2" type="noConversion"/>
  </si>
  <si>
    <t>路由决策错误</t>
    <phoneticPr fontId="2" type="noConversion"/>
  </si>
  <si>
    <t>选出两个灯，都不是床边灯</t>
    <phoneticPr fontId="2" type="noConversion"/>
  </si>
  <si>
    <r>
      <t>已尝试通过设备筛选（</t>
    </r>
    <r>
      <rPr>
        <sz val="9.8000000000000007"/>
        <color rgb="FF067D17"/>
        <rFont val="JetBrains Mono"/>
        <family val="3"/>
      </rPr>
      <t>tool_filter</t>
    </r>
    <r>
      <rPr>
        <sz val="9.8000000000000007"/>
        <color rgb="FF067D17"/>
        <rFont val="宋体"/>
        <family val="3"/>
        <charset val="134"/>
        <scheme val="minor"/>
      </rPr>
      <t>）来定位</t>
    </r>
    <r>
      <rPr>
        <sz val="9.8000000000000007"/>
        <color rgb="FF067D17"/>
        <rFont val="JetBrains Mono"/>
        <family val="3"/>
      </rPr>
      <t>“</t>
    </r>
    <r>
      <rPr>
        <sz val="9.8000000000000007"/>
        <color rgb="FF067D17"/>
        <rFont val="宋体"/>
        <family val="3"/>
        <charset val="134"/>
        <scheme val="minor"/>
      </rPr>
      <t>带星星装饰的灯</t>
    </r>
    <r>
      <rPr>
        <sz val="9.8000000000000007"/>
        <color rgb="FF067D17"/>
        <rFont val="JetBrains Mono"/>
        <family val="3"/>
      </rPr>
      <t>”</t>
    </r>
    <r>
      <rPr>
        <sz val="9.8000000000000007"/>
        <color rgb="FF067D17"/>
        <rFont val="宋体"/>
        <family val="3"/>
        <charset val="134"/>
        <scheme val="minor"/>
      </rPr>
      <t>，但未匹配到任何设备（没有记忆）</t>
    </r>
    <phoneticPr fontId="2" type="noConversion"/>
  </si>
  <si>
    <t>列了插座、灯。一个人体传感器都没有</t>
    <phoneticPr fontId="2" type="noConversion"/>
  </si>
  <si>
    <r>
      <t>遗漏一个人体传感器；未使用规定的</t>
    </r>
    <r>
      <rPr>
        <sz val="9.8000000000000007"/>
        <color rgb="FF080808"/>
        <rFont val="JetBrains Mono"/>
        <family val="3"/>
      </rPr>
      <t xml:space="preserve"> no_motion_duration </t>
    </r>
    <r>
      <rPr>
        <sz val="9.8000000000000007"/>
        <color rgb="FF080808"/>
        <rFont val="宋体"/>
        <family val="3"/>
        <charset val="134"/>
        <scheme val="minor"/>
      </rPr>
      <t>实体</t>
    </r>
    <phoneticPr fontId="2" type="noConversion"/>
  </si>
  <si>
    <t>"执行异常: 'structured_response'</t>
    <phoneticPr fontId="2" type="noConversion"/>
  </si>
  <si>
    <t>遗漏灯</t>
    <phoneticPr fontId="2" type="noConversion"/>
  </si>
  <si>
    <r>
      <t>已将音量调至</t>
    </r>
    <r>
      <rPr>
        <sz val="9.8000000000000007"/>
        <color rgb="FF067D17"/>
        <rFont val="JetBrains Mono"/>
        <family val="3"/>
      </rPr>
      <t>0.098</t>
    </r>
    <r>
      <rPr>
        <sz val="9.8000000000000007"/>
        <color rgb="FF067D17"/>
        <rFont val="宋体"/>
        <family val="3"/>
        <charset val="134"/>
        <scheme val="minor"/>
      </rPr>
      <t>。</t>
    </r>
    <phoneticPr fontId="2" type="noConversion"/>
  </si>
  <si>
    <r>
      <t>好的，已将智能音箱的音量降低</t>
    </r>
    <r>
      <rPr>
        <sz val="9.8000000000000007"/>
        <color rgb="FF067D17"/>
        <rFont val="JetBrains Mono"/>
        <family val="3"/>
      </rPr>
      <t>2%</t>
    </r>
    <r>
      <rPr>
        <sz val="9.8000000000000007"/>
        <color rgb="FF067D17"/>
        <rFont val="宋体"/>
        <family val="3"/>
        <charset val="134"/>
        <scheme val="minor"/>
      </rPr>
      <t>，当前音量为</t>
    </r>
    <r>
      <rPr>
        <sz val="9.8000000000000007"/>
        <color rgb="FF067D17"/>
        <rFont val="JetBrains Mono"/>
        <family val="3"/>
      </rPr>
      <t>0.098</t>
    </r>
    <r>
      <rPr>
        <sz val="9.8000000000000007"/>
        <color rgb="FF067D17"/>
        <rFont val="宋体"/>
        <family val="3"/>
        <charset val="134"/>
        <scheme val="minor"/>
      </rPr>
      <t>。</t>
    </r>
  </si>
  <si>
    <t>亮度执行时变成百分比</t>
    <phoneticPr fontId="2" type="noConversion"/>
  </si>
  <si>
    <t>客厅光线传感器显示亮度为80，这表示客厅并不暗。？就算是灯泡，也是off啊</t>
    <phoneticPr fontId="2" type="noConversion"/>
  </si>
  <si>
    <t>格式错误</t>
    <phoneticPr fontId="2" type="noConversion"/>
  </si>
  <si>
    <t>实体选择错误</t>
    <phoneticPr fontId="2" type="noConversion"/>
  </si>
  <si>
    <t>客厅里没有能检测光线亮度的设备</t>
    <phoneticPr fontId="2" type="noConversion"/>
  </si>
  <si>
    <t>客厅里没有能检测光线亮度的设备。</t>
    <phoneticPr fontId="2" type="noConversion"/>
  </si>
  <si>
    <r>
      <t>少一个。书房里的灯的设备</t>
    </r>
    <r>
      <rPr>
        <sz val="9.8000000000000007"/>
        <color rgb="FF080808"/>
        <rFont val="JetBrains Mono"/>
        <family val="3"/>
      </rPr>
      <t>ID</t>
    </r>
    <r>
      <rPr>
        <sz val="9.8000000000000007"/>
        <color rgb="FF080808"/>
        <rFont val="宋体"/>
        <family val="3"/>
        <charset val="134"/>
        <scheme val="minor"/>
      </rPr>
      <t>是</t>
    </r>
    <r>
      <rPr>
        <sz val="9.8000000000000007"/>
        <color rgb="FF080808"/>
        <rFont val="JetBrains Mono"/>
        <family val="3"/>
      </rPr>
      <t>c86e3c14d0egbfc02g4cae35662d6944</t>
    </r>
    <r>
      <rPr>
        <sz val="9.8000000000000007"/>
        <color rgb="FF080808"/>
        <rFont val="宋体"/>
        <family val="3"/>
        <charset val="134"/>
        <scheme val="minor"/>
      </rPr>
      <t>。（有记忆</t>
    </r>
    <phoneticPr fontId="2" type="noConversion"/>
  </si>
  <si>
    <t>没有找到能检测窗户是否打开以及能检测黑暗的设备。e'</t>
    <phoneticPr fontId="2" type="noConversion"/>
  </si>
  <si>
    <r>
      <rPr>
        <sz val="9.8000000000000007"/>
        <color rgb="FF067D17"/>
        <rFont val="宋体"/>
        <family val="3"/>
        <charset val="134"/>
      </rPr>
      <t>设备</t>
    </r>
    <r>
      <rPr>
        <sz val="9.8000000000000007"/>
        <color rgb="FF067D17"/>
        <rFont val="JetBrains Mono"/>
        <family val="3"/>
      </rPr>
      <t xml:space="preserve"> `21ab4b42c3e6a3fb27f93385082d4075` </t>
    </r>
    <r>
      <rPr>
        <sz val="9.8000000000000007"/>
        <color rgb="FF067D17"/>
        <rFont val="宋体"/>
        <family val="3"/>
        <charset val="134"/>
      </rPr>
      <t xml:space="preserve">已成功播放周杰伦的歌。
</t>
    </r>
    <r>
      <rPr>
        <sz val="9.8000000000000007"/>
        <color rgb="FF067D17"/>
        <rFont val="JetBrains Mono"/>
        <family val="3"/>
      </rPr>
      <t xml:space="preserve">- </t>
    </r>
    <r>
      <rPr>
        <sz val="9.8000000000000007"/>
        <color rgb="FF067D17"/>
        <rFont val="宋体"/>
        <family val="3"/>
        <charset val="134"/>
      </rPr>
      <t>设备</t>
    </r>
    <r>
      <rPr>
        <sz val="9.8000000000000007"/>
        <color rgb="FF067D17"/>
        <rFont val="JetBrains Mono"/>
        <family val="3"/>
      </rPr>
      <t xml:space="preserve"> `21ab4b42c3e6a3fb27f93385082d4075` </t>
    </r>
    <r>
      <rPr>
        <sz val="9.8000000000000007"/>
        <color rgb="FF067D17"/>
        <rFont val="宋体"/>
        <family val="3"/>
        <charset val="134"/>
      </rPr>
      <t>的音量已调节到</t>
    </r>
    <r>
      <rPr>
        <sz val="9.8000000000000007"/>
        <color rgb="FF067D17"/>
        <rFont val="JetBrains Mono"/>
        <family val="3"/>
      </rPr>
      <t>10</t>
    </r>
    <r>
      <rPr>
        <sz val="9.8000000000000007"/>
        <color rgb="FF067D17"/>
        <rFont val="宋体"/>
        <family val="3"/>
        <charset val="134"/>
      </rPr>
      <t>。</t>
    </r>
    <phoneticPr fontId="2" type="noConversion"/>
  </si>
  <si>
    <r>
      <t>抱歉，我无法找到您客厅灯的</t>
    </r>
    <r>
      <rPr>
        <sz val="9.8000000000000007"/>
        <color rgb="FF067D17"/>
        <rFont val="JetBrains Mono"/>
        <family val="3"/>
      </rPr>
      <t>“</t>
    </r>
    <r>
      <rPr>
        <sz val="9.8000000000000007"/>
        <color rgb="FF067D17"/>
        <rFont val="宋体"/>
        <family val="3"/>
        <charset val="134"/>
        <scheme val="minor"/>
      </rPr>
      <t>最喜欢色温</t>
    </r>
    <r>
      <rPr>
        <sz val="9.8000000000000007"/>
        <color rgb="FF067D17"/>
        <rFont val="JetBrains Mono"/>
        <family val="3"/>
      </rPr>
      <t>”</t>
    </r>
    <r>
      <rPr>
        <sz val="9.8000000000000007"/>
        <color rgb="FF067D17"/>
        <rFont val="宋体"/>
        <family val="3"/>
        <charset val="134"/>
        <scheme val="minor"/>
      </rPr>
      <t>偏好设置，因此无法完成您的请求。（有记忆）</t>
    </r>
    <phoneticPr fontId="2" type="noConversion"/>
  </si>
  <si>
    <t>47 - I can't fall asleep easily; I plan to read some materials before going to bed.</t>
    <phoneticPr fontId="2" type="noConversion"/>
  </si>
  <si>
    <r>
      <t>未使用实体的</t>
    </r>
    <r>
      <rPr>
        <sz val="9.8000000000000007"/>
        <color rgb="FF080808"/>
        <rFont val="JetBrains Mono"/>
        <family val="3"/>
      </rPr>
      <t xml:space="preserve"> last_updated </t>
    </r>
    <r>
      <rPr>
        <sz val="9.8000000000000007"/>
        <color rgb="FF080808"/>
        <rFont val="宋体"/>
        <family val="3"/>
        <charset val="134"/>
        <scheme val="minor"/>
      </rPr>
      <t>来判断是否有人活动，仅检查了</t>
    </r>
    <r>
      <rPr>
        <sz val="9.8000000000000007"/>
        <color rgb="FF080808"/>
        <rFont val="JetBrains Mono"/>
        <family val="3"/>
      </rPr>
      <t xml:space="preserve"> event_type/state</t>
    </r>
    <r>
      <rPr>
        <sz val="9.8000000000000007"/>
        <color rgb="FF080808"/>
        <rFont val="宋体"/>
        <family val="3"/>
        <charset val="134"/>
        <scheme val="minor"/>
      </rPr>
      <t>。</t>
    </r>
    <phoneticPr fontId="2" type="noConversion"/>
  </si>
  <si>
    <t>记忆检索和存储都出错，重在提取出错，音箱设备ID混乱，有两个：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</si>
</sst>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.8000000000000007"/>
      <color rgb="FF080808"/>
      <name val="宋体"/>
      <family val="3"/>
      <charset val="134"/>
      <scheme val="minor"/>
    </font>
    <font>
      <sz val="9.8000000000000007"/>
      <color rgb="FF080808"/>
      <name val="JetBrains Mono"/>
      <family val="3"/>
    </font>
    <font>
      <sz val="9.8000000000000007"/>
      <color rgb="FF067D17"/>
      <name val="JetBrains Mono"/>
      <family val="3"/>
    </font>
    <font>
      <sz val="9.8000000000000007"/>
      <color rgb="FF067D17"/>
      <name val="宋体"/>
      <family val="3"/>
      <charset val="134"/>
      <scheme val="minor"/>
    </font>
    <font>
      <sz val="10.5"/>
      <color rgb="FF067D17"/>
      <name val="宋体"/>
      <family val="3"/>
      <charset val="134"/>
      <scheme val="minor"/>
    </font>
    <font>
      <sz val="10.5"/>
      <color rgb="FF067D17"/>
      <name val="JetBrains Mono"/>
      <family val="3"/>
    </font>
    <font>
      <sz val="9.8000000000000007"/>
      <color rgb="FF067D17"/>
      <name val="宋体"/>
      <family val="3"/>
      <charset val="134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sz val="9.8000000000000007"/>
      <color rgb="FF067D17"/>
      <name val="JetBrains Mono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0" fillId="0" borderId="0" xfId="0" applyFill="1" applyAlignment="1">
      <alignment wrapText="1"/>
    </xf>
    <xf numFmtId="0" fontId="7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opLeftCell="B1" workbookViewId="0">
      <pane ySplit="1" topLeftCell="A14" activePane="bottomLeft" state="frozen"/>
      <selection pane="bottomLeft" activeCell="D27" sqref="D27"/>
    </sheetView>
  </sheetViews>
  <sheetFormatPr defaultRowHeight="14.4"/>
  <cols>
    <col min="1" max="1" width="85" customWidth="1"/>
    <col min="2" max="2" width="18" customWidth="1"/>
    <col min="3" max="3" width="25.33203125" style="7" customWidth="1"/>
    <col min="4" max="4" width="20.6640625" style="7" customWidth="1"/>
    <col min="5" max="5" width="21.77734375" style="7" customWidth="1"/>
    <col min="6" max="6" width="9.109375" style="7" customWidth="1"/>
    <col min="7" max="7" width="15.44140625" customWidth="1"/>
    <col min="8" max="8" width="16.109375" customWidth="1"/>
    <col min="9" max="9" width="15.44140625" customWidth="1"/>
    <col min="10" max="10" width="16.21875" customWidth="1"/>
  </cols>
  <sheetData>
    <row r="1" spans="1:12">
      <c r="A1" s="1" t="s">
        <v>0</v>
      </c>
      <c r="B1" s="1" t="s">
        <v>1</v>
      </c>
      <c r="C1" s="5" t="s">
        <v>54</v>
      </c>
      <c r="D1" s="6" t="s">
        <v>55</v>
      </c>
      <c r="E1" s="6" t="s">
        <v>56</v>
      </c>
      <c r="F1" s="6"/>
      <c r="G1" s="6" t="s">
        <v>128</v>
      </c>
      <c r="H1" s="6" t="s">
        <v>129</v>
      </c>
      <c r="I1" s="6" t="s">
        <v>130</v>
      </c>
    </row>
    <row r="2" spans="1:12">
      <c r="A2" s="2" t="s">
        <v>2</v>
      </c>
      <c r="B2" s="3"/>
      <c r="J2" t="s">
        <v>131</v>
      </c>
      <c r="K2">
        <f>COUNTIF($G:$I,J2)</f>
        <v>0</v>
      </c>
      <c r="L2">
        <f>K2/SUM($K$2:$K$10)</f>
        <v>0</v>
      </c>
    </row>
    <row r="3" spans="1:12">
      <c r="A3" s="2" t="s">
        <v>3</v>
      </c>
      <c r="B3" s="3"/>
      <c r="J3" t="s">
        <v>137</v>
      </c>
      <c r="K3">
        <f t="shared" ref="K3:K10" si="0">COUNTIF($G:$I,J3)</f>
        <v>0</v>
      </c>
      <c r="L3">
        <f t="shared" ref="L3:L10" si="1">K3/SUM($K$2:$K$10)</f>
        <v>0</v>
      </c>
    </row>
    <row r="4" spans="1:12">
      <c r="A4" s="2" t="s">
        <v>4</v>
      </c>
      <c r="B4" s="3"/>
      <c r="J4" t="s">
        <v>134</v>
      </c>
      <c r="K4">
        <f t="shared" si="0"/>
        <v>1</v>
      </c>
      <c r="L4">
        <f t="shared" si="1"/>
        <v>8.3333333333333329E-2</v>
      </c>
    </row>
    <row r="5" spans="1:12">
      <c r="A5" s="2" t="s">
        <v>5</v>
      </c>
      <c r="B5" s="3"/>
      <c r="J5" t="s">
        <v>135</v>
      </c>
      <c r="K5">
        <f t="shared" si="0"/>
        <v>3</v>
      </c>
      <c r="L5">
        <f t="shared" si="1"/>
        <v>0.25</v>
      </c>
    </row>
    <row r="6" spans="1:12">
      <c r="A6" s="2" t="s">
        <v>6</v>
      </c>
      <c r="B6" s="3"/>
      <c r="J6" t="s">
        <v>138</v>
      </c>
      <c r="K6">
        <f t="shared" si="0"/>
        <v>0</v>
      </c>
      <c r="L6">
        <f t="shared" si="1"/>
        <v>0</v>
      </c>
    </row>
    <row r="7" spans="1:12">
      <c r="A7" s="2" t="s">
        <v>7</v>
      </c>
      <c r="B7" s="3"/>
      <c r="J7" t="s">
        <v>133</v>
      </c>
      <c r="K7">
        <f t="shared" si="0"/>
        <v>2</v>
      </c>
      <c r="L7">
        <f t="shared" si="1"/>
        <v>0.16666666666666666</v>
      </c>
    </row>
    <row r="8" spans="1:12">
      <c r="A8" s="2" t="s">
        <v>8</v>
      </c>
      <c r="B8" s="3"/>
      <c r="J8" t="s">
        <v>139</v>
      </c>
      <c r="K8">
        <f t="shared" si="0"/>
        <v>0</v>
      </c>
      <c r="L8">
        <f t="shared" si="1"/>
        <v>0</v>
      </c>
    </row>
    <row r="9" spans="1:12">
      <c r="A9" s="2" t="s">
        <v>9</v>
      </c>
      <c r="B9" s="3"/>
      <c r="J9" t="s">
        <v>140</v>
      </c>
      <c r="K9">
        <f t="shared" si="0"/>
        <v>3</v>
      </c>
      <c r="L9">
        <f t="shared" si="1"/>
        <v>0.25</v>
      </c>
    </row>
    <row r="10" spans="1:12">
      <c r="A10" s="2" t="s">
        <v>10</v>
      </c>
      <c r="B10" s="3"/>
      <c r="J10" t="s">
        <v>132</v>
      </c>
      <c r="K10">
        <f t="shared" si="0"/>
        <v>3</v>
      </c>
      <c r="L10">
        <f t="shared" si="1"/>
        <v>0.25</v>
      </c>
    </row>
    <row r="11" spans="1:12">
      <c r="A11" s="2" t="s">
        <v>11</v>
      </c>
      <c r="B11" s="3"/>
    </row>
    <row r="12" spans="1:12">
      <c r="A12" s="2" t="s">
        <v>12</v>
      </c>
      <c r="B12" s="3" t="s">
        <v>13</v>
      </c>
      <c r="C12" s="7" t="s">
        <v>140</v>
      </c>
      <c r="D12" s="7" t="s">
        <v>140</v>
      </c>
      <c r="E12" s="7" t="s">
        <v>140</v>
      </c>
      <c r="G12" t="s">
        <v>140</v>
      </c>
      <c r="H12" t="s">
        <v>140</v>
      </c>
      <c r="I12" t="s">
        <v>140</v>
      </c>
      <c r="K12">
        <f>SUM(K2:K10)</f>
        <v>12</v>
      </c>
    </row>
    <row r="13" spans="1:12">
      <c r="A13" s="2" t="s">
        <v>14</v>
      </c>
      <c r="B13" s="3"/>
    </row>
    <row r="14" spans="1:12">
      <c r="A14" s="2" t="s">
        <v>15</v>
      </c>
      <c r="B14" s="3"/>
    </row>
    <row r="15" spans="1:12">
      <c r="A15" s="2" t="s">
        <v>16</v>
      </c>
      <c r="B15" s="3"/>
    </row>
    <row r="16" spans="1:12">
      <c r="A16" s="2" t="s">
        <v>17</v>
      </c>
      <c r="B16" s="3"/>
    </row>
    <row r="17" spans="1:9">
      <c r="A17" s="2" t="s">
        <v>18</v>
      </c>
      <c r="B17" s="3"/>
    </row>
    <row r="18" spans="1:9">
      <c r="A18" s="2" t="s">
        <v>19</v>
      </c>
      <c r="B18" s="3"/>
    </row>
    <row r="19" spans="1:9">
      <c r="A19" s="2" t="s">
        <v>20</v>
      </c>
      <c r="B19" s="3"/>
    </row>
    <row r="20" spans="1:9">
      <c r="A20" s="2" t="s">
        <v>21</v>
      </c>
      <c r="B20" s="3"/>
    </row>
    <row r="21" spans="1:9">
      <c r="A21" s="2" t="s">
        <v>22</v>
      </c>
      <c r="B21" s="3"/>
    </row>
    <row r="22" spans="1:9">
      <c r="A22" s="2" t="s">
        <v>23</v>
      </c>
      <c r="B22" s="3"/>
    </row>
    <row r="23" spans="1:9">
      <c r="A23" s="2" t="s">
        <v>24</v>
      </c>
      <c r="B23" s="3"/>
    </row>
    <row r="24" spans="1:9">
      <c r="A24" s="2" t="s">
        <v>25</v>
      </c>
      <c r="B24" s="3"/>
    </row>
    <row r="25" spans="1:9">
      <c r="A25" s="2" t="s">
        <v>26</v>
      </c>
      <c r="B25" s="3"/>
    </row>
    <row r="26" spans="1:9">
      <c r="A26" s="2" t="s">
        <v>27</v>
      </c>
      <c r="B26" s="3"/>
    </row>
    <row r="27" spans="1:9" ht="76.8" customHeight="1">
      <c r="A27" s="2" t="s">
        <v>28</v>
      </c>
      <c r="B27" s="3" t="s">
        <v>13</v>
      </c>
      <c r="C27" s="7" t="s">
        <v>57</v>
      </c>
      <c r="D27" s="8" t="s">
        <v>164</v>
      </c>
      <c r="E27" s="8" t="s">
        <v>58</v>
      </c>
      <c r="F27" s="8"/>
      <c r="G27" t="s">
        <v>132</v>
      </c>
      <c r="H27" t="s">
        <v>132</v>
      </c>
      <c r="I27" t="s">
        <v>132</v>
      </c>
    </row>
    <row r="28" spans="1:9" ht="28.8">
      <c r="A28" s="2" t="s">
        <v>29</v>
      </c>
      <c r="B28" s="3"/>
    </row>
    <row r="29" spans="1:9">
      <c r="A29" s="2" t="s">
        <v>30</v>
      </c>
      <c r="B29" s="3"/>
    </row>
    <row r="30" spans="1:9" ht="28.8">
      <c r="A30" s="2" t="s">
        <v>31</v>
      </c>
      <c r="B30" s="3"/>
    </row>
    <row r="31" spans="1:9" ht="28.8">
      <c r="A31" s="2" t="s">
        <v>32</v>
      </c>
      <c r="B31" s="3"/>
    </row>
    <row r="32" spans="1:9" ht="28.8">
      <c r="A32" s="2" t="s">
        <v>33</v>
      </c>
      <c r="B32" s="3"/>
    </row>
    <row r="33" spans="1:9" ht="28.8">
      <c r="A33" s="2" t="s">
        <v>34</v>
      </c>
      <c r="B33" s="3"/>
    </row>
    <row r="34" spans="1:9" ht="28.8">
      <c r="A34" s="2" t="s">
        <v>35</v>
      </c>
      <c r="B34" s="3"/>
    </row>
    <row r="35" spans="1:9">
      <c r="A35" s="2" t="s">
        <v>36</v>
      </c>
      <c r="B35" s="3"/>
    </row>
    <row r="36" spans="1:9">
      <c r="A36" s="2" t="s">
        <v>37</v>
      </c>
      <c r="B36" s="3"/>
    </row>
    <row r="37" spans="1:9">
      <c r="A37" s="2" t="s">
        <v>38</v>
      </c>
      <c r="B37" s="3"/>
    </row>
    <row r="38" spans="1:9" ht="28.8">
      <c r="A38" s="2" t="s">
        <v>39</v>
      </c>
      <c r="B38" s="3" t="s">
        <v>13</v>
      </c>
      <c r="C38" s="7" t="s">
        <v>59</v>
      </c>
      <c r="D38" s="7" t="s">
        <v>59</v>
      </c>
      <c r="E38" s="7" t="s">
        <v>59</v>
      </c>
      <c r="G38" s="13" t="s">
        <v>136</v>
      </c>
      <c r="H38" s="13" t="s">
        <v>136</v>
      </c>
      <c r="I38" s="13" t="s">
        <v>136</v>
      </c>
    </row>
    <row r="39" spans="1:9">
      <c r="A39" s="2" t="s">
        <v>40</v>
      </c>
      <c r="B39" s="3"/>
    </row>
    <row r="40" spans="1:9">
      <c r="A40" s="2" t="s">
        <v>41</v>
      </c>
      <c r="B40" s="3"/>
    </row>
    <row r="41" spans="1:9">
      <c r="A41" s="2" t="s">
        <v>42</v>
      </c>
      <c r="B41" s="3"/>
    </row>
    <row r="42" spans="1:9">
      <c r="A42" s="2" t="s">
        <v>43</v>
      </c>
      <c r="B42" s="3"/>
    </row>
    <row r="43" spans="1:9">
      <c r="A43" s="2" t="s">
        <v>44</v>
      </c>
      <c r="B43" s="3"/>
    </row>
    <row r="44" spans="1:9" ht="28.8">
      <c r="A44" s="2" t="s">
        <v>45</v>
      </c>
      <c r="B44" s="3"/>
    </row>
    <row r="45" spans="1:9">
      <c r="A45" s="2" t="s">
        <v>46</v>
      </c>
      <c r="B45" s="3"/>
    </row>
    <row r="46" spans="1:9">
      <c r="A46" s="2" t="s">
        <v>47</v>
      </c>
      <c r="B46" s="3"/>
    </row>
    <row r="47" spans="1:9">
      <c r="A47" s="2" t="s">
        <v>48</v>
      </c>
      <c r="B47" s="3"/>
    </row>
    <row r="48" spans="1:9" ht="63">
      <c r="A48" s="2" t="s">
        <v>163</v>
      </c>
      <c r="B48" s="3" t="s">
        <v>13</v>
      </c>
      <c r="C48" s="9" t="s">
        <v>60</v>
      </c>
      <c r="D48" s="7" t="s">
        <v>61</v>
      </c>
      <c r="E48" s="7" t="s">
        <v>61</v>
      </c>
      <c r="G48" t="s">
        <v>134</v>
      </c>
      <c r="H48" s="12" t="s">
        <v>133</v>
      </c>
      <c r="I48" s="12" t="s">
        <v>133</v>
      </c>
    </row>
    <row r="49" spans="1:2">
      <c r="A49" s="2" t="s">
        <v>50</v>
      </c>
      <c r="B49" s="3"/>
    </row>
    <row r="50" spans="1:2">
      <c r="A50" s="2" t="s">
        <v>51</v>
      </c>
      <c r="B50" s="3"/>
    </row>
    <row r="51" spans="1:2">
      <c r="A51" s="2" t="s">
        <v>52</v>
      </c>
      <c r="B51" s="3"/>
    </row>
    <row r="52" spans="1:2">
      <c r="A52" s="4" t="s">
        <v>53</v>
      </c>
      <c r="B52" s="4">
        <v>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tabSelected="1" topLeftCell="B1" workbookViewId="0">
      <pane ySplit="1" topLeftCell="A8" activePane="bottomLeft" state="frozen"/>
      <selection pane="bottomLeft" activeCell="C15" sqref="C15"/>
    </sheetView>
  </sheetViews>
  <sheetFormatPr defaultRowHeight="14.4"/>
  <cols>
    <col min="1" max="1" width="85" customWidth="1"/>
    <col min="2" max="2" width="18" customWidth="1"/>
    <col min="3" max="3" width="18.21875" customWidth="1"/>
    <col min="4" max="4" width="20" customWidth="1"/>
    <col min="5" max="5" width="16.44140625" customWidth="1"/>
    <col min="7" max="7" width="15.77734375" customWidth="1"/>
    <col min="8" max="8" width="19.6640625" customWidth="1"/>
    <col min="9" max="9" width="19.5546875" customWidth="1"/>
    <col min="10" max="10" width="13.88671875" customWidth="1"/>
    <col min="11" max="11" width="12.44140625" customWidth="1"/>
    <col min="12" max="12" width="9.6640625" customWidth="1"/>
  </cols>
  <sheetData>
    <row r="1" spans="1:12" ht="28.8">
      <c r="A1" s="1" t="s">
        <v>0</v>
      </c>
      <c r="B1" s="1" t="s">
        <v>1</v>
      </c>
      <c r="C1" s="5" t="s">
        <v>54</v>
      </c>
      <c r="D1" s="6" t="s">
        <v>55</v>
      </c>
      <c r="E1" s="6" t="s">
        <v>56</v>
      </c>
      <c r="F1" s="6"/>
      <c r="G1" s="6" t="s">
        <v>128</v>
      </c>
      <c r="H1" s="6" t="s">
        <v>129</v>
      </c>
      <c r="I1" s="6" t="s">
        <v>130</v>
      </c>
    </row>
    <row r="2" spans="1:12">
      <c r="A2" s="2" t="s">
        <v>2</v>
      </c>
      <c r="B2" s="3"/>
      <c r="F2" s="7"/>
      <c r="J2" t="s">
        <v>131</v>
      </c>
      <c r="K2">
        <f>COUNTIF($G:$I,J2)</f>
        <v>0</v>
      </c>
      <c r="L2">
        <f>K2/SUM($K$2:$K$10)</f>
        <v>0</v>
      </c>
    </row>
    <row r="3" spans="1:12">
      <c r="A3" s="2" t="s">
        <v>3</v>
      </c>
      <c r="B3" s="3"/>
      <c r="F3" s="7"/>
      <c r="J3" t="s">
        <v>137</v>
      </c>
      <c r="K3">
        <f t="shared" ref="K3:K10" si="0">COUNTIF($G:$I,J3)</f>
        <v>8</v>
      </c>
      <c r="L3">
        <f t="shared" ref="L3:L10" si="1">K3/SUM($K$2:$K$10)</f>
        <v>0.14814814814814814</v>
      </c>
    </row>
    <row r="4" spans="1:12">
      <c r="A4" s="2" t="s">
        <v>4</v>
      </c>
      <c r="B4" s="3"/>
      <c r="F4" s="7"/>
      <c r="J4" t="s">
        <v>134</v>
      </c>
      <c r="K4">
        <f t="shared" si="0"/>
        <v>3</v>
      </c>
      <c r="L4">
        <f t="shared" si="1"/>
        <v>5.5555555555555552E-2</v>
      </c>
    </row>
    <row r="5" spans="1:12">
      <c r="A5" s="2" t="s">
        <v>5</v>
      </c>
      <c r="B5" s="3"/>
      <c r="F5" s="7"/>
      <c r="J5" t="s">
        <v>135</v>
      </c>
      <c r="K5">
        <f>COUNTIF($G:$I,J5)</f>
        <v>14</v>
      </c>
      <c r="L5">
        <f t="shared" si="1"/>
        <v>0.25925925925925924</v>
      </c>
    </row>
    <row r="6" spans="1:12">
      <c r="A6" s="2" t="s">
        <v>6</v>
      </c>
      <c r="B6" s="3"/>
      <c r="F6" s="7"/>
      <c r="J6" t="s">
        <v>138</v>
      </c>
      <c r="K6">
        <f t="shared" si="0"/>
        <v>1</v>
      </c>
      <c r="L6">
        <f t="shared" si="1"/>
        <v>1.8518518518518517E-2</v>
      </c>
    </row>
    <row r="7" spans="1:12" ht="57.6">
      <c r="A7" s="2" t="s">
        <v>7</v>
      </c>
      <c r="B7" s="3" t="s">
        <v>13</v>
      </c>
      <c r="C7" s="7" t="s">
        <v>63</v>
      </c>
      <c r="D7" s="7" t="s">
        <v>63</v>
      </c>
      <c r="E7" s="7" t="s">
        <v>64</v>
      </c>
      <c r="F7" s="7"/>
      <c r="G7" t="s">
        <v>141</v>
      </c>
      <c r="H7" t="s">
        <v>139</v>
      </c>
      <c r="I7" t="s">
        <v>136</v>
      </c>
      <c r="J7" t="s">
        <v>133</v>
      </c>
      <c r="K7">
        <f t="shared" si="0"/>
        <v>7</v>
      </c>
      <c r="L7">
        <f t="shared" si="1"/>
        <v>0.12962962962962962</v>
      </c>
    </row>
    <row r="8" spans="1:12">
      <c r="A8" s="2" t="s">
        <v>8</v>
      </c>
      <c r="B8" s="3"/>
      <c r="F8" s="7"/>
      <c r="J8" t="s">
        <v>139</v>
      </c>
      <c r="K8">
        <f t="shared" si="0"/>
        <v>6</v>
      </c>
      <c r="L8">
        <f t="shared" si="1"/>
        <v>0.1111111111111111</v>
      </c>
    </row>
    <row r="9" spans="1:12">
      <c r="A9" s="2" t="s">
        <v>9</v>
      </c>
      <c r="B9" s="3"/>
      <c r="F9" s="7"/>
      <c r="J9" t="s">
        <v>140</v>
      </c>
      <c r="K9">
        <f t="shared" si="0"/>
        <v>9</v>
      </c>
      <c r="L9">
        <f t="shared" si="1"/>
        <v>0.16666666666666666</v>
      </c>
    </row>
    <row r="10" spans="1:12">
      <c r="A10" s="2" t="s">
        <v>10</v>
      </c>
      <c r="B10" s="3"/>
      <c r="F10" s="7"/>
      <c r="J10" t="s">
        <v>132</v>
      </c>
      <c r="K10">
        <f t="shared" si="0"/>
        <v>6</v>
      </c>
      <c r="L10">
        <f t="shared" si="1"/>
        <v>0.1111111111111111</v>
      </c>
    </row>
    <row r="11" spans="1:12">
      <c r="A11" s="2" t="s">
        <v>11</v>
      </c>
      <c r="B11" s="3"/>
      <c r="F11" s="7"/>
    </row>
    <row r="12" spans="1:12">
      <c r="A12" s="2" t="s">
        <v>12</v>
      </c>
      <c r="B12" s="3"/>
      <c r="F12" s="7"/>
      <c r="K12">
        <f>SUM(K2:K10)</f>
        <v>54</v>
      </c>
    </row>
    <row r="13" spans="1:12">
      <c r="A13" s="2" t="s">
        <v>14</v>
      </c>
      <c r="B13" s="3" t="s">
        <v>13</v>
      </c>
      <c r="C13" t="s">
        <v>65</v>
      </c>
      <c r="D13" t="s">
        <v>65</v>
      </c>
      <c r="E13" t="s">
        <v>65</v>
      </c>
      <c r="F13" s="7"/>
      <c r="G13" t="s">
        <v>140</v>
      </c>
      <c r="H13" t="s">
        <v>140</v>
      </c>
      <c r="I13" t="s">
        <v>140</v>
      </c>
    </row>
    <row r="14" spans="1:12">
      <c r="A14" s="2" t="s">
        <v>15</v>
      </c>
      <c r="B14" s="3" t="s">
        <v>13</v>
      </c>
      <c r="C14" t="s">
        <v>65</v>
      </c>
      <c r="D14" t="s">
        <v>65</v>
      </c>
      <c r="E14" t="s">
        <v>65</v>
      </c>
      <c r="F14" s="7"/>
      <c r="G14" t="s">
        <v>140</v>
      </c>
      <c r="H14" t="s">
        <v>140</v>
      </c>
      <c r="I14" t="s">
        <v>140</v>
      </c>
    </row>
    <row r="15" spans="1:12" ht="57.6">
      <c r="A15" s="2" t="s">
        <v>16</v>
      </c>
      <c r="B15" s="3" t="s">
        <v>13</v>
      </c>
      <c r="C15" s="7" t="s">
        <v>165</v>
      </c>
      <c r="D15" s="7" t="s">
        <v>66</v>
      </c>
      <c r="E15" s="7" t="s">
        <v>63</v>
      </c>
      <c r="F15" s="7"/>
      <c r="G15" t="s">
        <v>137</v>
      </c>
      <c r="H15" t="s">
        <v>137</v>
      </c>
      <c r="I15" t="s">
        <v>139</v>
      </c>
    </row>
    <row r="16" spans="1:12">
      <c r="A16" s="2" t="s">
        <v>17</v>
      </c>
      <c r="B16" s="3"/>
      <c r="F16" s="7"/>
    </row>
    <row r="17" spans="1:9" ht="58.2">
      <c r="A17" s="2" t="s">
        <v>18</v>
      </c>
      <c r="B17" s="3" t="s">
        <v>13</v>
      </c>
      <c r="C17" s="10" t="s">
        <v>67</v>
      </c>
      <c r="D17" t="s">
        <v>68</v>
      </c>
      <c r="E17" s="10" t="s">
        <v>69</v>
      </c>
      <c r="F17" s="7"/>
      <c r="G17" t="s">
        <v>135</v>
      </c>
      <c r="H17" t="s">
        <v>136</v>
      </c>
      <c r="I17" t="s">
        <v>135</v>
      </c>
    </row>
    <row r="18" spans="1:9">
      <c r="A18" s="2" t="s">
        <v>19</v>
      </c>
      <c r="B18" s="3"/>
      <c r="F18" s="7"/>
    </row>
    <row r="19" spans="1:9">
      <c r="A19" s="2" t="s">
        <v>20</v>
      </c>
      <c r="B19" s="3"/>
      <c r="F19" s="7"/>
    </row>
    <row r="20" spans="1:9">
      <c r="A20" s="2" t="s">
        <v>21</v>
      </c>
      <c r="B20" s="3"/>
      <c r="F20" s="7"/>
    </row>
    <row r="21" spans="1:9">
      <c r="A21" s="2" t="s">
        <v>22</v>
      </c>
      <c r="B21" s="3"/>
      <c r="F21" s="7"/>
    </row>
    <row r="22" spans="1:9">
      <c r="A22" s="2" t="s">
        <v>23</v>
      </c>
      <c r="B22" s="3"/>
      <c r="F22" s="7"/>
    </row>
    <row r="23" spans="1:9" ht="57.6">
      <c r="A23" s="2" t="s">
        <v>24</v>
      </c>
      <c r="B23" s="3" t="s">
        <v>13</v>
      </c>
      <c r="C23" s="7" t="s">
        <v>62</v>
      </c>
      <c r="D23" s="7" t="s">
        <v>62</v>
      </c>
      <c r="E23" s="7" t="s">
        <v>62</v>
      </c>
      <c r="F23" s="7"/>
      <c r="G23" t="s">
        <v>139</v>
      </c>
      <c r="H23" t="s">
        <v>139</v>
      </c>
      <c r="I23" t="s">
        <v>139</v>
      </c>
    </row>
    <row r="24" spans="1:9">
      <c r="A24" s="2" t="s">
        <v>25</v>
      </c>
      <c r="B24" s="3"/>
      <c r="F24" s="7"/>
    </row>
    <row r="25" spans="1:9">
      <c r="A25" s="2" t="s">
        <v>26</v>
      </c>
      <c r="B25" s="3"/>
      <c r="F25" s="7"/>
    </row>
    <row r="26" spans="1:9">
      <c r="A26" s="2" t="s">
        <v>27</v>
      </c>
      <c r="B26" s="3"/>
      <c r="F26" s="7"/>
    </row>
    <row r="27" spans="1:9" ht="59.4">
      <c r="A27" s="2" t="s">
        <v>28</v>
      </c>
      <c r="B27" s="3" t="s">
        <v>13</v>
      </c>
      <c r="C27" s="10" t="s">
        <v>72</v>
      </c>
      <c r="D27" s="8" t="s">
        <v>71</v>
      </c>
      <c r="E27" s="10" t="s">
        <v>70</v>
      </c>
      <c r="F27" s="8"/>
      <c r="G27" t="s">
        <v>132</v>
      </c>
      <c r="H27" t="s">
        <v>132</v>
      </c>
      <c r="I27" t="s">
        <v>132</v>
      </c>
    </row>
    <row r="28" spans="1:9" ht="59.4">
      <c r="A28" s="2" t="s">
        <v>29</v>
      </c>
      <c r="B28" s="3" t="s">
        <v>13</v>
      </c>
      <c r="C28" s="8" t="s">
        <v>73</v>
      </c>
      <c r="D28" s="8" t="s">
        <v>74</v>
      </c>
      <c r="E28" s="8" t="s">
        <v>75</v>
      </c>
      <c r="F28" s="7"/>
      <c r="G28" t="s">
        <v>132</v>
      </c>
      <c r="H28" t="s">
        <v>132</v>
      </c>
      <c r="I28" t="s">
        <v>132</v>
      </c>
    </row>
    <row r="29" spans="1:9">
      <c r="A29" s="2" t="s">
        <v>30</v>
      </c>
      <c r="B29" s="3"/>
      <c r="F29" s="7"/>
    </row>
    <row r="30" spans="1:9" ht="28.8">
      <c r="A30" s="2" t="s">
        <v>31</v>
      </c>
      <c r="B30" s="3"/>
      <c r="F30" s="7"/>
    </row>
    <row r="31" spans="1:9" ht="28.8">
      <c r="A31" s="2" t="s">
        <v>32</v>
      </c>
      <c r="B31" s="3" t="s">
        <v>13</v>
      </c>
      <c r="C31" s="7" t="s">
        <v>145</v>
      </c>
      <c r="D31" t="s">
        <v>76</v>
      </c>
      <c r="E31" t="s">
        <v>76</v>
      </c>
      <c r="F31" s="7"/>
      <c r="G31" t="s">
        <v>135</v>
      </c>
      <c r="H31" t="s">
        <v>135</v>
      </c>
      <c r="I31" t="s">
        <v>136</v>
      </c>
    </row>
    <row r="32" spans="1:9" ht="49.2">
      <c r="A32" s="2" t="s">
        <v>33</v>
      </c>
      <c r="B32" s="3" t="s">
        <v>13</v>
      </c>
      <c r="C32" s="8" t="s">
        <v>77</v>
      </c>
      <c r="D32" s="15" t="s">
        <v>147</v>
      </c>
      <c r="E32" s="8" t="s">
        <v>148</v>
      </c>
      <c r="F32" s="7"/>
      <c r="G32" t="s">
        <v>135</v>
      </c>
      <c r="H32" t="s">
        <v>135</v>
      </c>
      <c r="I32" t="s">
        <v>135</v>
      </c>
    </row>
    <row r="33" spans="1:9" ht="28.8">
      <c r="A33" s="2" t="s">
        <v>34</v>
      </c>
      <c r="B33" s="3"/>
      <c r="F33" s="7"/>
    </row>
    <row r="34" spans="1:9" ht="86.4">
      <c r="A34" s="2" t="s">
        <v>35</v>
      </c>
      <c r="B34" s="3" t="s">
        <v>13</v>
      </c>
      <c r="C34" s="7" t="s">
        <v>80</v>
      </c>
      <c r="D34" s="7" t="s">
        <v>79</v>
      </c>
      <c r="E34" s="7" t="s">
        <v>78</v>
      </c>
      <c r="F34" s="7"/>
      <c r="G34" s="12" t="s">
        <v>133</v>
      </c>
      <c r="H34" s="12" t="s">
        <v>133</v>
      </c>
      <c r="I34" t="s">
        <v>135</v>
      </c>
    </row>
    <row r="35" spans="1:9" ht="57.6">
      <c r="A35" s="2" t="s">
        <v>36</v>
      </c>
      <c r="B35" s="3" t="s">
        <v>13</v>
      </c>
      <c r="C35" s="7" t="s">
        <v>81</v>
      </c>
      <c r="D35" s="7" t="s">
        <v>82</v>
      </c>
      <c r="E35" s="7" t="s">
        <v>83</v>
      </c>
      <c r="F35" s="7"/>
      <c r="G35" t="s">
        <v>137</v>
      </c>
      <c r="H35" t="s">
        <v>137</v>
      </c>
      <c r="I35" t="s">
        <v>137</v>
      </c>
    </row>
    <row r="36" spans="1:9" ht="57.6">
      <c r="A36" s="2" t="s">
        <v>37</v>
      </c>
      <c r="B36" s="3" t="s">
        <v>13</v>
      </c>
      <c r="C36" s="7" t="s">
        <v>84</v>
      </c>
      <c r="D36" s="7" t="s">
        <v>85</v>
      </c>
      <c r="E36" s="7" t="s">
        <v>86</v>
      </c>
      <c r="F36" s="7"/>
      <c r="G36" t="s">
        <v>140</v>
      </c>
      <c r="H36" t="s">
        <v>140</v>
      </c>
      <c r="I36" t="s">
        <v>140</v>
      </c>
    </row>
    <row r="37" spans="1:9">
      <c r="A37" s="2" t="s">
        <v>38</v>
      </c>
      <c r="B37" s="3"/>
      <c r="F37" s="7"/>
    </row>
    <row r="38" spans="1:9" ht="43.2">
      <c r="A38" s="2" t="s">
        <v>39</v>
      </c>
      <c r="B38" s="3" t="s">
        <v>13</v>
      </c>
      <c r="C38" s="7" t="s">
        <v>87</v>
      </c>
      <c r="D38" s="7" t="s">
        <v>88</v>
      </c>
      <c r="E38" s="7" t="s">
        <v>89</v>
      </c>
      <c r="F38" s="7"/>
      <c r="G38" s="13" t="s">
        <v>135</v>
      </c>
      <c r="H38" s="13" t="s">
        <v>135</v>
      </c>
      <c r="I38" s="13" t="s">
        <v>135</v>
      </c>
    </row>
    <row r="39" spans="1:9" ht="28.8">
      <c r="A39" s="2" t="s">
        <v>40</v>
      </c>
      <c r="B39" s="3" t="s">
        <v>13</v>
      </c>
      <c r="C39" s="7" t="s">
        <v>90</v>
      </c>
      <c r="D39" s="7" t="s">
        <v>91</v>
      </c>
      <c r="E39" s="7" t="s">
        <v>91</v>
      </c>
      <c r="F39" s="7"/>
      <c r="G39" t="s">
        <v>143</v>
      </c>
      <c r="H39" t="s">
        <v>133</v>
      </c>
      <c r="I39" t="s">
        <v>133</v>
      </c>
    </row>
    <row r="40" spans="1:9">
      <c r="A40" s="2" t="s">
        <v>41</v>
      </c>
      <c r="B40" s="3"/>
      <c r="F40" s="7"/>
    </row>
    <row r="41" spans="1:9">
      <c r="A41" s="2" t="s">
        <v>42</v>
      </c>
      <c r="B41" s="3"/>
      <c r="F41" s="7"/>
    </row>
    <row r="42" spans="1:9">
      <c r="A42" s="2" t="s">
        <v>43</v>
      </c>
      <c r="B42" s="3"/>
      <c r="F42" s="7"/>
    </row>
    <row r="43" spans="1:9">
      <c r="A43" s="2" t="s">
        <v>44</v>
      </c>
      <c r="B43" s="3"/>
      <c r="F43" s="7"/>
    </row>
    <row r="44" spans="1:9" ht="28.8">
      <c r="A44" s="2" t="s">
        <v>45</v>
      </c>
      <c r="B44" s="3"/>
      <c r="F44" s="7"/>
    </row>
    <row r="45" spans="1:9">
      <c r="A45" s="2" t="s">
        <v>46</v>
      </c>
      <c r="B45" s="3"/>
      <c r="F45" s="7"/>
    </row>
    <row r="46" spans="1:9">
      <c r="A46" s="2" t="s">
        <v>47</v>
      </c>
      <c r="B46" s="3"/>
      <c r="F46" s="7"/>
    </row>
    <row r="47" spans="1:9">
      <c r="A47" s="2" t="s">
        <v>48</v>
      </c>
      <c r="B47" s="3"/>
      <c r="F47" s="7"/>
    </row>
    <row r="48" spans="1:9" ht="43.2">
      <c r="A48" s="2" t="s">
        <v>49</v>
      </c>
      <c r="B48" s="3" t="s">
        <v>13</v>
      </c>
      <c r="C48" s="7" t="s">
        <v>92</v>
      </c>
      <c r="D48" s="10" t="s">
        <v>93</v>
      </c>
      <c r="E48" s="7" t="s">
        <v>94</v>
      </c>
      <c r="F48" s="7"/>
      <c r="G48" t="s">
        <v>133</v>
      </c>
      <c r="H48" t="s">
        <v>144</v>
      </c>
      <c r="I48" t="s">
        <v>133</v>
      </c>
    </row>
    <row r="49" spans="1:9" ht="86.4">
      <c r="A49" s="2" t="s">
        <v>50</v>
      </c>
      <c r="B49" s="3" t="s">
        <v>13</v>
      </c>
      <c r="C49" s="10" t="s">
        <v>146</v>
      </c>
      <c r="D49" s="10" t="s">
        <v>95</v>
      </c>
      <c r="E49" s="7" t="s">
        <v>96</v>
      </c>
      <c r="G49" t="s">
        <v>137</v>
      </c>
      <c r="H49" t="s">
        <v>137</v>
      </c>
      <c r="I49" t="s">
        <v>137</v>
      </c>
    </row>
    <row r="50" spans="1:9">
      <c r="A50" s="2" t="s">
        <v>51</v>
      </c>
      <c r="B50" s="3"/>
    </row>
    <row r="51" spans="1:9" ht="115.8">
      <c r="A51" s="2" t="s">
        <v>52</v>
      </c>
      <c r="B51" s="3" t="s">
        <v>13</v>
      </c>
      <c r="C51" s="10" t="s">
        <v>97</v>
      </c>
      <c r="D51" s="10" t="s">
        <v>98</v>
      </c>
      <c r="E51" s="11" t="s">
        <v>106</v>
      </c>
      <c r="G51" t="s">
        <v>134</v>
      </c>
      <c r="H51" t="s">
        <v>134</v>
      </c>
      <c r="I51" t="s">
        <v>138</v>
      </c>
    </row>
    <row r="52" spans="1:9">
      <c r="A52" s="4" t="s">
        <v>53</v>
      </c>
      <c r="B52" s="4">
        <v>18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2"/>
  <sheetViews>
    <sheetView topLeftCell="B1" zoomScaleNormal="100" workbookViewId="0">
      <pane ySplit="1" topLeftCell="A2" activePane="bottomLeft" state="frozen"/>
      <selection pane="bottomLeft" activeCell="J2" sqref="J2:L10"/>
    </sheetView>
  </sheetViews>
  <sheetFormatPr defaultRowHeight="14.4"/>
  <cols>
    <col min="1" max="1" width="85" customWidth="1"/>
    <col min="2" max="2" width="18" customWidth="1"/>
    <col min="3" max="3" width="22.44140625" customWidth="1"/>
    <col min="4" max="4" width="18.21875" customWidth="1"/>
    <col min="5" max="5" width="21.21875" customWidth="1"/>
    <col min="7" max="7" width="18.5546875" customWidth="1"/>
    <col min="8" max="8" width="12.5546875" customWidth="1"/>
    <col min="9" max="9" width="15.77734375" customWidth="1"/>
    <col min="10" max="10" width="15.33203125" customWidth="1"/>
  </cols>
  <sheetData>
    <row r="1" spans="1:12" ht="28.8">
      <c r="A1" s="1" t="s">
        <v>0</v>
      </c>
      <c r="B1" s="1" t="s">
        <v>1</v>
      </c>
      <c r="C1" s="5" t="s">
        <v>54</v>
      </c>
      <c r="D1" s="6" t="s">
        <v>55</v>
      </c>
      <c r="E1" s="6" t="s">
        <v>56</v>
      </c>
      <c r="F1" s="6"/>
      <c r="G1" s="6" t="s">
        <v>128</v>
      </c>
      <c r="H1" s="6" t="s">
        <v>129</v>
      </c>
      <c r="I1" s="6" t="s">
        <v>130</v>
      </c>
    </row>
    <row r="2" spans="1:12">
      <c r="A2" s="2" t="s">
        <v>2</v>
      </c>
      <c r="B2" s="3"/>
      <c r="F2" s="7"/>
      <c r="J2" t="s">
        <v>131</v>
      </c>
      <c r="K2">
        <f>COUNTIF($G:$I,J2)</f>
        <v>0</v>
      </c>
      <c r="L2">
        <f>K2/SUM($K$2:$K$10)</f>
        <v>0</v>
      </c>
    </row>
    <row r="3" spans="1:12">
      <c r="A3" s="2" t="s">
        <v>3</v>
      </c>
      <c r="B3" s="3"/>
      <c r="F3" s="7"/>
      <c r="J3" t="s">
        <v>142</v>
      </c>
      <c r="K3">
        <f t="shared" ref="K3:K10" si="0">COUNTIF($G:$I,J3)</f>
        <v>3</v>
      </c>
      <c r="L3">
        <f t="shared" ref="L3:L10" si="1">K3/SUM($K$2:$K$10)</f>
        <v>5.8823529411764705E-2</v>
      </c>
    </row>
    <row r="4" spans="1:12">
      <c r="A4" s="2" t="s">
        <v>4</v>
      </c>
      <c r="B4" s="3"/>
      <c r="F4" s="7"/>
      <c r="J4" t="s">
        <v>134</v>
      </c>
      <c r="K4">
        <f t="shared" si="0"/>
        <v>0</v>
      </c>
      <c r="L4">
        <f t="shared" si="1"/>
        <v>0</v>
      </c>
    </row>
    <row r="5" spans="1:12">
      <c r="A5" s="2" t="s">
        <v>5</v>
      </c>
      <c r="B5" s="3"/>
      <c r="F5" s="7"/>
      <c r="J5" t="s">
        <v>136</v>
      </c>
      <c r="K5">
        <f t="shared" si="0"/>
        <v>12</v>
      </c>
      <c r="L5">
        <f t="shared" si="1"/>
        <v>0.23529411764705882</v>
      </c>
    </row>
    <row r="6" spans="1:12">
      <c r="A6" s="2" t="s">
        <v>6</v>
      </c>
      <c r="B6" s="3"/>
      <c r="F6" s="7"/>
      <c r="J6" t="s">
        <v>155</v>
      </c>
      <c r="K6">
        <f t="shared" si="0"/>
        <v>12</v>
      </c>
      <c r="L6">
        <f t="shared" si="1"/>
        <v>0.23529411764705882</v>
      </c>
    </row>
    <row r="7" spans="1:12" ht="43.2">
      <c r="A7" s="2" t="s">
        <v>7</v>
      </c>
      <c r="B7" s="3" t="s">
        <v>13</v>
      </c>
      <c r="C7" t="s">
        <v>150</v>
      </c>
      <c r="D7" s="7" t="s">
        <v>149</v>
      </c>
      <c r="E7" t="s">
        <v>150</v>
      </c>
      <c r="F7" s="7"/>
      <c r="G7" t="s">
        <v>135</v>
      </c>
      <c r="H7" t="s">
        <v>138</v>
      </c>
      <c r="I7" t="s">
        <v>135</v>
      </c>
      <c r="J7" t="s">
        <v>143</v>
      </c>
      <c r="K7">
        <f t="shared" si="0"/>
        <v>9</v>
      </c>
      <c r="L7">
        <f t="shared" si="1"/>
        <v>0.17647058823529413</v>
      </c>
    </row>
    <row r="8" spans="1:12">
      <c r="A8" s="2" t="s">
        <v>8</v>
      </c>
      <c r="B8" s="3"/>
      <c r="F8" s="7"/>
      <c r="J8" t="s">
        <v>141</v>
      </c>
      <c r="K8">
        <f t="shared" si="0"/>
        <v>3</v>
      </c>
      <c r="L8">
        <f t="shared" si="1"/>
        <v>5.8823529411764705E-2</v>
      </c>
    </row>
    <row r="9" spans="1:12" ht="36.6">
      <c r="A9" s="2" t="s">
        <v>9</v>
      </c>
      <c r="B9" s="3" t="s">
        <v>13</v>
      </c>
      <c r="C9" s="7" t="s">
        <v>118</v>
      </c>
      <c r="D9" s="10" t="s">
        <v>151</v>
      </c>
      <c r="E9" s="10" t="s">
        <v>152</v>
      </c>
      <c r="F9" s="7"/>
      <c r="G9" t="s">
        <v>155</v>
      </c>
      <c r="H9" t="s">
        <v>133</v>
      </c>
      <c r="I9" t="s">
        <v>133</v>
      </c>
      <c r="J9" t="s">
        <v>156</v>
      </c>
      <c r="K9">
        <f t="shared" si="0"/>
        <v>9</v>
      </c>
      <c r="L9">
        <f t="shared" si="1"/>
        <v>0.17647058823529413</v>
      </c>
    </row>
    <row r="10" spans="1:12">
      <c r="A10" s="2" t="s">
        <v>10</v>
      </c>
      <c r="B10" s="3"/>
      <c r="F10" s="7"/>
      <c r="J10" t="s">
        <v>132</v>
      </c>
      <c r="K10">
        <f t="shared" si="0"/>
        <v>3</v>
      </c>
      <c r="L10">
        <f t="shared" si="1"/>
        <v>5.8823529411764705E-2</v>
      </c>
    </row>
    <row r="11" spans="1:12">
      <c r="A11" s="2" t="s">
        <v>11</v>
      </c>
      <c r="B11" s="3"/>
      <c r="F11" s="7"/>
    </row>
    <row r="12" spans="1:12">
      <c r="A12" s="2" t="s">
        <v>12</v>
      </c>
      <c r="B12" s="3"/>
      <c r="F12" s="7"/>
      <c r="K12">
        <f>SUM(K2:K10)</f>
        <v>51</v>
      </c>
    </row>
    <row r="13" spans="1:12">
      <c r="A13" s="2" t="s">
        <v>14</v>
      </c>
      <c r="B13" s="3" t="s">
        <v>13</v>
      </c>
      <c r="C13" t="s">
        <v>140</v>
      </c>
      <c r="D13" t="s">
        <v>140</v>
      </c>
      <c r="E13" t="s">
        <v>140</v>
      </c>
      <c r="F13" s="7"/>
      <c r="G13" t="s">
        <v>140</v>
      </c>
      <c r="H13" t="s">
        <v>140</v>
      </c>
      <c r="I13" t="s">
        <v>140</v>
      </c>
    </row>
    <row r="14" spans="1:12">
      <c r="A14" s="2" t="s">
        <v>15</v>
      </c>
      <c r="B14" s="3" t="s">
        <v>13</v>
      </c>
      <c r="C14" t="s">
        <v>140</v>
      </c>
      <c r="D14" t="s">
        <v>140</v>
      </c>
      <c r="E14" t="s">
        <v>140</v>
      </c>
      <c r="F14" s="7"/>
      <c r="G14" t="s">
        <v>140</v>
      </c>
      <c r="H14" t="s">
        <v>140</v>
      </c>
      <c r="I14" t="s">
        <v>140</v>
      </c>
    </row>
    <row r="15" spans="1:12" ht="28.8">
      <c r="A15" s="2" t="s">
        <v>16</v>
      </c>
      <c r="B15" s="3" t="s">
        <v>13</v>
      </c>
      <c r="C15" t="s">
        <v>153</v>
      </c>
      <c r="D15" s="7" t="s">
        <v>153</v>
      </c>
      <c r="E15" s="7" t="s">
        <v>153</v>
      </c>
      <c r="F15" s="7"/>
      <c r="G15" t="s">
        <v>139</v>
      </c>
      <c r="H15" t="s">
        <v>139</v>
      </c>
      <c r="I15" t="s">
        <v>139</v>
      </c>
    </row>
    <row r="16" spans="1:12">
      <c r="A16" s="2" t="s">
        <v>17</v>
      </c>
      <c r="B16" s="3"/>
      <c r="F16" s="7"/>
    </row>
    <row r="17" spans="1:9" ht="72">
      <c r="A17" s="2" t="s">
        <v>18</v>
      </c>
      <c r="B17" s="3" t="s">
        <v>13</v>
      </c>
      <c r="C17" s="7" t="s">
        <v>157</v>
      </c>
      <c r="D17" s="7" t="s">
        <v>154</v>
      </c>
      <c r="E17" s="7" t="s">
        <v>158</v>
      </c>
      <c r="F17" s="7"/>
      <c r="G17" t="s">
        <v>136</v>
      </c>
      <c r="H17" t="s">
        <v>135</v>
      </c>
      <c r="I17" t="s">
        <v>135</v>
      </c>
    </row>
    <row r="18" spans="1:9">
      <c r="A18" s="2" t="s">
        <v>19</v>
      </c>
      <c r="B18" s="3"/>
      <c r="F18" s="7"/>
    </row>
    <row r="19" spans="1:9">
      <c r="A19" s="2" t="s">
        <v>20</v>
      </c>
      <c r="B19" s="3"/>
      <c r="F19" s="7"/>
    </row>
    <row r="20" spans="1:9">
      <c r="A20" s="2" t="s">
        <v>21</v>
      </c>
      <c r="B20" s="3"/>
      <c r="F20" s="7"/>
    </row>
    <row r="21" spans="1:9">
      <c r="A21" s="2" t="s">
        <v>22</v>
      </c>
      <c r="B21" s="3"/>
      <c r="F21" s="7"/>
    </row>
    <row r="22" spans="1:9">
      <c r="A22" s="2" t="s">
        <v>23</v>
      </c>
      <c r="B22" s="3"/>
      <c r="F22" s="7"/>
    </row>
    <row r="23" spans="1:9">
      <c r="A23" s="2" t="s">
        <v>24</v>
      </c>
      <c r="B23" s="3"/>
      <c r="F23" s="7"/>
    </row>
    <row r="24" spans="1:9" ht="106.2" customHeight="1">
      <c r="A24" s="2" t="s">
        <v>25</v>
      </c>
      <c r="B24" s="3" t="s">
        <v>13</v>
      </c>
      <c r="C24" s="7" t="s">
        <v>99</v>
      </c>
      <c r="D24" s="7" t="s">
        <v>100</v>
      </c>
      <c r="E24" s="10" t="s">
        <v>107</v>
      </c>
      <c r="F24" s="7"/>
      <c r="G24" t="s">
        <v>138</v>
      </c>
      <c r="H24" t="s">
        <v>138</v>
      </c>
      <c r="I24" t="s">
        <v>138</v>
      </c>
    </row>
    <row r="25" spans="1:9" ht="61.8">
      <c r="A25" s="2" t="s">
        <v>26</v>
      </c>
      <c r="B25" s="3" t="s">
        <v>13</v>
      </c>
      <c r="C25" s="8" t="s">
        <v>159</v>
      </c>
      <c r="D25" s="8" t="s">
        <v>102</v>
      </c>
      <c r="E25" s="8" t="s">
        <v>103</v>
      </c>
      <c r="F25" s="7"/>
      <c r="G25" t="s">
        <v>135</v>
      </c>
      <c r="H25" t="s">
        <v>135</v>
      </c>
      <c r="I25" t="s">
        <v>135</v>
      </c>
    </row>
    <row r="26" spans="1:9">
      <c r="A26" s="2" t="s">
        <v>27</v>
      </c>
      <c r="B26" s="3"/>
      <c r="F26" s="7"/>
    </row>
    <row r="27" spans="1:9" ht="59.4">
      <c r="A27" s="2" t="s">
        <v>28</v>
      </c>
      <c r="B27" s="3" t="s">
        <v>13</v>
      </c>
      <c r="C27" s="7" t="s">
        <v>104</v>
      </c>
      <c r="D27" s="8" t="s">
        <v>108</v>
      </c>
      <c r="E27" s="8" t="s">
        <v>111</v>
      </c>
      <c r="F27" s="8"/>
      <c r="G27" t="s">
        <v>132</v>
      </c>
      <c r="H27" t="s">
        <v>132</v>
      </c>
      <c r="I27" t="s">
        <v>132</v>
      </c>
    </row>
    <row r="28" spans="1:9" ht="98.4">
      <c r="A28" s="2" t="s">
        <v>29</v>
      </c>
      <c r="B28" s="3" t="s">
        <v>13</v>
      </c>
      <c r="C28" s="10" t="s">
        <v>105</v>
      </c>
      <c r="D28" s="10" t="s">
        <v>109</v>
      </c>
      <c r="E28" s="7" t="s">
        <v>112</v>
      </c>
      <c r="F28" s="7"/>
      <c r="G28" t="s">
        <v>135</v>
      </c>
      <c r="H28" t="s">
        <v>135</v>
      </c>
      <c r="I28" t="s">
        <v>135</v>
      </c>
    </row>
    <row r="29" spans="1:9" ht="43.2">
      <c r="A29" s="2" t="s">
        <v>30</v>
      </c>
      <c r="B29" s="3" t="s">
        <v>13</v>
      </c>
      <c r="C29" s="7" t="s">
        <v>160</v>
      </c>
      <c r="D29" s="7" t="s">
        <v>110</v>
      </c>
      <c r="E29" s="8" t="s">
        <v>113</v>
      </c>
      <c r="F29" s="7"/>
      <c r="G29" t="s">
        <v>138</v>
      </c>
      <c r="H29" t="s">
        <v>135</v>
      </c>
      <c r="I29" t="s">
        <v>156</v>
      </c>
    </row>
    <row r="30" spans="1:9" ht="28.8">
      <c r="A30" s="2" t="s">
        <v>31</v>
      </c>
      <c r="B30" s="3"/>
      <c r="C30" s="14"/>
      <c r="D30" s="15"/>
      <c r="E30" s="10"/>
      <c r="F30" s="7"/>
    </row>
    <row r="31" spans="1:9" ht="28.8">
      <c r="A31" s="2" t="s">
        <v>32</v>
      </c>
      <c r="B31" s="3"/>
      <c r="F31" s="7"/>
    </row>
    <row r="32" spans="1:9" ht="28.8">
      <c r="A32" s="2" t="s">
        <v>33</v>
      </c>
      <c r="B32" s="3"/>
      <c r="F32" s="7"/>
    </row>
    <row r="33" spans="1:9" ht="28.8">
      <c r="A33" s="2" t="s">
        <v>34</v>
      </c>
      <c r="B33" s="3"/>
      <c r="F33" s="7"/>
    </row>
    <row r="34" spans="1:9" ht="28.8">
      <c r="A34" s="2" t="s">
        <v>35</v>
      </c>
      <c r="B34" s="3"/>
      <c r="F34" s="7"/>
    </row>
    <row r="35" spans="1:9">
      <c r="A35" s="2" t="s">
        <v>36</v>
      </c>
      <c r="B35" s="3"/>
      <c r="F35" s="7"/>
    </row>
    <row r="36" spans="1:9" ht="99.6">
      <c r="A36" s="2" t="s">
        <v>37</v>
      </c>
      <c r="B36" s="3" t="s">
        <v>13</v>
      </c>
      <c r="C36" s="7" t="s">
        <v>114</v>
      </c>
      <c r="D36" s="10" t="s">
        <v>115</v>
      </c>
      <c r="E36" s="16" t="s">
        <v>161</v>
      </c>
      <c r="F36" s="7"/>
      <c r="G36" t="s">
        <v>143</v>
      </c>
      <c r="H36" t="s">
        <v>140</v>
      </c>
      <c r="I36" t="s">
        <v>140</v>
      </c>
    </row>
    <row r="37" spans="1:9">
      <c r="A37" s="2" t="s">
        <v>38</v>
      </c>
      <c r="B37" s="3"/>
      <c r="F37" s="7"/>
    </row>
    <row r="38" spans="1:9">
      <c r="A38" s="2" t="s">
        <v>39</v>
      </c>
      <c r="B38" s="3"/>
      <c r="F38" s="7"/>
      <c r="G38" s="13"/>
      <c r="H38" s="13"/>
      <c r="I38" s="13"/>
    </row>
    <row r="39" spans="1:9">
      <c r="A39" s="2" t="s">
        <v>40</v>
      </c>
      <c r="B39" s="3"/>
      <c r="F39" s="7"/>
    </row>
    <row r="40" spans="1:9">
      <c r="A40" s="2" t="s">
        <v>41</v>
      </c>
      <c r="B40" s="3"/>
      <c r="F40" s="7"/>
    </row>
    <row r="41" spans="1:9">
      <c r="A41" s="2" t="s">
        <v>42</v>
      </c>
      <c r="B41" s="3"/>
      <c r="F41" s="7"/>
    </row>
    <row r="42" spans="1:9" ht="48">
      <c r="A42" s="2" t="s">
        <v>43</v>
      </c>
      <c r="B42" s="3" t="s">
        <v>13</v>
      </c>
      <c r="C42" s="10" t="s">
        <v>162</v>
      </c>
      <c r="D42" s="10" t="s">
        <v>116</v>
      </c>
      <c r="E42" s="10" t="s">
        <v>116</v>
      </c>
      <c r="F42" s="7"/>
      <c r="G42" t="s">
        <v>143</v>
      </c>
      <c r="H42" t="s">
        <v>133</v>
      </c>
      <c r="I42" t="s">
        <v>133</v>
      </c>
    </row>
    <row r="43" spans="1:9">
      <c r="A43" s="2" t="s">
        <v>44</v>
      </c>
      <c r="B43" s="3"/>
      <c r="F43" s="7"/>
    </row>
    <row r="44" spans="1:9" ht="57">
      <c r="A44" s="2" t="s">
        <v>45</v>
      </c>
      <c r="B44" s="3" t="s">
        <v>13</v>
      </c>
      <c r="C44" s="10" t="s">
        <v>117</v>
      </c>
      <c r="D44" s="10" t="s">
        <v>117</v>
      </c>
      <c r="E44" s="10" t="s">
        <v>117</v>
      </c>
      <c r="F44" s="7"/>
      <c r="G44" t="s">
        <v>133</v>
      </c>
      <c r="H44" t="s">
        <v>133</v>
      </c>
      <c r="I44" t="s">
        <v>133</v>
      </c>
    </row>
    <row r="45" spans="1:9">
      <c r="A45" s="2" t="s">
        <v>46</v>
      </c>
      <c r="B45" s="3"/>
      <c r="F45" s="7"/>
    </row>
    <row r="46" spans="1:9" ht="43.2">
      <c r="A46" s="2" t="s">
        <v>47</v>
      </c>
      <c r="B46" s="3" t="s">
        <v>13</v>
      </c>
      <c r="C46" s="7" t="s">
        <v>119</v>
      </c>
      <c r="D46" s="7" t="s">
        <v>120</v>
      </c>
      <c r="E46" s="7" t="s">
        <v>120</v>
      </c>
      <c r="F46" s="7"/>
      <c r="G46" t="s">
        <v>142</v>
      </c>
      <c r="H46" t="s">
        <v>142</v>
      </c>
      <c r="I46" t="s">
        <v>142</v>
      </c>
    </row>
    <row r="47" spans="1:9">
      <c r="A47" s="2" t="s">
        <v>48</v>
      </c>
      <c r="B47" s="3"/>
      <c r="F47" s="7"/>
    </row>
    <row r="48" spans="1:9" ht="37.799999999999997">
      <c r="A48" s="2" t="s">
        <v>49</v>
      </c>
      <c r="B48" s="3" t="s">
        <v>13</v>
      </c>
      <c r="C48" s="7" t="s">
        <v>118</v>
      </c>
      <c r="D48" s="9" t="s">
        <v>121</v>
      </c>
      <c r="E48" s="9" t="s">
        <v>121</v>
      </c>
      <c r="F48" s="7"/>
      <c r="G48" t="s">
        <v>138</v>
      </c>
      <c r="H48" t="s">
        <v>138</v>
      </c>
      <c r="I48" t="s">
        <v>138</v>
      </c>
    </row>
    <row r="49" spans="1:9">
      <c r="A49" s="2" t="s">
        <v>50</v>
      </c>
      <c r="B49" s="3"/>
    </row>
    <row r="50" spans="1:9">
      <c r="A50" s="2" t="s">
        <v>51</v>
      </c>
      <c r="B50" s="3"/>
    </row>
    <row r="51" spans="1:9" ht="37.799999999999997">
      <c r="A51" s="2" t="s">
        <v>52</v>
      </c>
      <c r="B51" s="3" t="s">
        <v>13</v>
      </c>
      <c r="C51" s="10" t="s">
        <v>101</v>
      </c>
      <c r="D51" s="10" t="s">
        <v>101</v>
      </c>
      <c r="E51" s="10" t="s">
        <v>101</v>
      </c>
      <c r="G51" t="s">
        <v>138</v>
      </c>
      <c r="H51" t="s">
        <v>138</v>
      </c>
      <c r="I51" t="s">
        <v>138</v>
      </c>
    </row>
    <row r="52" spans="1:9">
      <c r="A52" s="4" t="s">
        <v>53</v>
      </c>
      <c r="B52" s="4">
        <v>17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FC4AE-26EB-4633-8C96-4E4FBD05ADEB}">
  <dimension ref="A2:B7"/>
  <sheetViews>
    <sheetView workbookViewId="0"/>
  </sheetViews>
  <sheetFormatPr defaultRowHeight="14.4"/>
  <cols>
    <col min="2" max="2" width="27.21875" customWidth="1"/>
  </cols>
  <sheetData>
    <row r="2" spans="1:2">
      <c r="A2" t="s">
        <v>122</v>
      </c>
      <c r="B2" t="s">
        <v>127</v>
      </c>
    </row>
    <row r="4" spans="1:2">
      <c r="A4" t="s">
        <v>123</v>
      </c>
    </row>
    <row r="5" spans="1:2">
      <c r="A5" t="s">
        <v>124</v>
      </c>
    </row>
    <row r="6" spans="1:2">
      <c r="A6" t="s">
        <v>125</v>
      </c>
    </row>
    <row r="7" spans="1:2">
      <c r="A7" t="s">
        <v>126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gpt-5-mini</vt:lpstr>
      <vt:lpstr>gpt-5-nano</vt:lpstr>
      <vt:lpstr>gemini-2.5-flash</vt:lpstr>
      <vt:lpstr>错误类别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玉雪 邬</cp:lastModifiedBy>
  <dcterms:created xsi:type="dcterms:W3CDTF">2026-03-26T13:51:54Z</dcterms:created>
  <dcterms:modified xsi:type="dcterms:W3CDTF">2026-03-29T09:53:35Z</dcterms:modified>
</cp:coreProperties>
</file>